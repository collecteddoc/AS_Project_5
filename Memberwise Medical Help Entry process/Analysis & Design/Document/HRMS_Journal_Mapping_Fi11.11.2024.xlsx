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Jilani\Desktop\"/>
    </mc:Choice>
  </mc:AlternateContent>
  <xr:revisionPtr revIDLastSave="0" documentId="13_ncr:1_{0A3EB227-DCA6-4986-A83C-E0CB5049317D}" xr6:coauthVersionLast="47" xr6:coauthVersionMax="47" xr10:uidLastSave="{00000000-0000-0000-0000-000000000000}"/>
  <bookViews>
    <workbookView xWindow="-110" yWindow="-110" windowWidth="19420" windowHeight="10300" tabRatio="898" activeTab="3" xr2:uid="{00000000-000D-0000-FFFF-FFFF00000000}"/>
  </bookViews>
  <sheets>
    <sheet name="HR AC TYPE" sheetId="4" r:id="rId1"/>
    <sheet name="Designation wise salary etc." sheetId="2" r:id="rId2"/>
    <sheet name="Designation Tag wise expense " sheetId="3" r:id="rId3"/>
    <sheet name="Salary Payment Journal Mapping" sheetId="8" r:id="rId4"/>
    <sheet name="Ex.-Salary Pay with Penal servi" sheetId="12" r:id="rId5"/>
    <sheet name="Payment Trx Journal Mapping" sheetId="10" r:id="rId6"/>
    <sheet name="Collection Trx journal Mapping" sheetId="9" r:id="rId7"/>
    <sheet name="Loan Trx journal Mapping" sheetId="7" r:id="rId8"/>
    <sheet name="Emp Trans Recv. Release Journal" sheetId="11" r:id="rId9"/>
  </sheets>
  <definedNames>
    <definedName name="_xlnm._FilterDatabase" localSheetId="6" hidden="1">'Collection Trx journal Mapping'!$A$1:$O$28</definedName>
    <definedName name="_xlnm._FilterDatabase" localSheetId="1" hidden="1">'Designation wise salary etc.'!$F$1:$F$109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0" l="1"/>
  <c r="L12" i="10"/>
  <c r="L9" i="10"/>
  <c r="K21" i="7"/>
  <c r="K18" i="7"/>
  <c r="K17" i="7"/>
  <c r="K16" i="7"/>
  <c r="K13" i="7"/>
  <c r="K7" i="7"/>
  <c r="M37" i="11"/>
  <c r="M22" i="11"/>
  <c r="M23" i="11"/>
  <c r="M15" i="11"/>
  <c r="M8" i="11"/>
  <c r="K15" i="7" l="1"/>
  <c r="K23" i="7" l="1"/>
  <c r="K25" i="7"/>
  <c r="M35" i="11" l="1"/>
  <c r="M34" i="11"/>
  <c r="M33" i="11"/>
  <c r="M32" i="11"/>
  <c r="M31" i="11"/>
  <c r="M21" i="11"/>
  <c r="M20" i="11"/>
  <c r="M19" i="11"/>
  <c r="M18" i="11"/>
  <c r="M17" i="11"/>
  <c r="L17" i="10" l="1"/>
  <c r="L18" i="10"/>
  <c r="L19" i="10"/>
  <c r="L20" i="10"/>
  <c r="L21" i="10"/>
  <c r="L22" i="10"/>
  <c r="L23" i="10"/>
  <c r="L24" i="10"/>
  <c r="L25" i="10"/>
  <c r="K6" i="7" l="1"/>
  <c r="K5" i="7"/>
  <c r="K2" i="7"/>
  <c r="K20" i="7"/>
  <c r="K24" i="7"/>
  <c r="K19" i="7"/>
  <c r="K14" i="7"/>
  <c r="K12" i="7"/>
  <c r="K11" i="7"/>
  <c r="K10" i="7"/>
  <c r="K9" i="7"/>
  <c r="K8" i="7"/>
  <c r="M13" i="11"/>
  <c r="M10" i="11"/>
  <c r="M11" i="11"/>
  <c r="M12" i="11"/>
  <c r="M9" i="11"/>
  <c r="M3" i="11"/>
  <c r="M4" i="11"/>
  <c r="M5" i="11"/>
  <c r="M6" i="11"/>
  <c r="M2" i="11"/>
  <c r="M12" i="9" l="1"/>
  <c r="M4" i="9"/>
  <c r="L4" i="10" l="1"/>
  <c r="L5" i="10"/>
  <c r="L6" i="10"/>
  <c r="L7" i="10"/>
  <c r="L8" i="10"/>
  <c r="L10" i="10"/>
  <c r="L11" i="10"/>
  <c r="L14" i="10"/>
  <c r="L15" i="10"/>
  <c r="L16" i="10"/>
  <c r="L3" i="10"/>
  <c r="M6" i="9"/>
  <c r="M7" i="9"/>
  <c r="M8" i="9"/>
  <c r="M9" i="9"/>
  <c r="M10" i="9"/>
  <c r="M11" i="9"/>
  <c r="M13" i="9"/>
  <c r="M3" i="9"/>
</calcChain>
</file>

<file path=xl/sharedStrings.xml><?xml version="1.0" encoding="utf-8"?>
<sst xmlns="http://schemas.openxmlformats.org/spreadsheetml/2006/main" count="3214" uniqueCount="643">
  <si>
    <t>Sl No</t>
  </si>
  <si>
    <t>Operation</t>
  </si>
  <si>
    <t>Designation Id</t>
  </si>
  <si>
    <t>Designation</t>
  </si>
  <si>
    <t>Sort_order</t>
  </si>
  <si>
    <t>Salary &amp; Allowance Expense</t>
  </si>
  <si>
    <t>Salary &amp; Allowance Expense Head</t>
  </si>
  <si>
    <t>Accounts PF employer Expense Code</t>
  </si>
  <si>
    <t>Accounts PF employer Expense Head</t>
  </si>
  <si>
    <t>Provident fund Liabilites code</t>
  </si>
  <si>
    <t>Provident fund Liabilites head</t>
  </si>
  <si>
    <t>Service Benefit Expense AC Code</t>
  </si>
  <si>
    <t>Service Benefit Expense AC Head</t>
  </si>
  <si>
    <t>Service Benefit Liabilities AC Code</t>
  </si>
  <si>
    <t>Service Benefit Liabilities AC Head</t>
  </si>
  <si>
    <t>Zonal Manager</t>
  </si>
  <si>
    <t>Non Branch</t>
  </si>
  <si>
    <t>4021001022010010</t>
  </si>
  <si>
    <t>Division/Zonal Office (Salaries and Allowance)</t>
  </si>
  <si>
    <t>4021001022010095010</t>
  </si>
  <si>
    <t>PF Contribution (Employer) Division/Zonal Office's Salary</t>
  </si>
  <si>
    <t>2220033099</t>
  </si>
  <si>
    <t xml:space="preserve">PF (Field Staff) Contribution </t>
  </si>
  <si>
    <t>Service Benefit (Expense)</t>
  </si>
  <si>
    <t>2997</t>
  </si>
  <si>
    <t>Service Benefit (Contra)</t>
  </si>
  <si>
    <t>Junior Zonal Manager</t>
  </si>
  <si>
    <t>District Manager</t>
  </si>
  <si>
    <t>4021001022010020</t>
  </si>
  <si>
    <t>District Manager (Salaries and Allowance)</t>
  </si>
  <si>
    <t>4021001022010095020</t>
  </si>
  <si>
    <t>PF Contribution (Employer) DM</t>
  </si>
  <si>
    <t>Senior Regional Manager</t>
  </si>
  <si>
    <t>4021001022010030</t>
  </si>
  <si>
    <t>Regional Manager (Salaries and Allowance)</t>
  </si>
  <si>
    <t>4021001022010095030</t>
  </si>
  <si>
    <t>PF Contribution (Employer) RM</t>
  </si>
  <si>
    <t>Junior District Manager</t>
  </si>
  <si>
    <t>Regional Manager</t>
  </si>
  <si>
    <t>Junior Regional Manager</t>
  </si>
  <si>
    <t>Sr. Branch Manager</t>
  </si>
  <si>
    <t>Branch</t>
  </si>
  <si>
    <t>4021001011010</t>
  </si>
  <si>
    <t>Branch Manager (Salaries and Allowance)</t>
  </si>
  <si>
    <t>4021001011095010</t>
  </si>
  <si>
    <t>PF Contribution (Employer) BM</t>
  </si>
  <si>
    <t>Branch Manager</t>
  </si>
  <si>
    <t>Manager (SEL)</t>
  </si>
  <si>
    <t>Senior Loan Officer</t>
  </si>
  <si>
    <t>4021001011030</t>
  </si>
  <si>
    <t>Loan Officer (Salaries and Allowance)</t>
  </si>
  <si>
    <t>4021001011095030</t>
  </si>
  <si>
    <t>PF Contribution (Employer) LO</t>
  </si>
  <si>
    <t>Assistant Branch Manager</t>
  </si>
  <si>
    <t>4021001011020</t>
  </si>
  <si>
    <t>Assistant Branch Manager (Salaries and Allowance)</t>
  </si>
  <si>
    <t>4021001011095020</t>
  </si>
  <si>
    <t>PF Contribution (Employer) ABM</t>
  </si>
  <si>
    <t>Computer Officer</t>
  </si>
  <si>
    <t>4021001022020020</t>
  </si>
  <si>
    <t>Computer Operator/Office Assistant (Salaries and Allowance)</t>
  </si>
  <si>
    <t>4021001022020095020</t>
  </si>
  <si>
    <t>PF Contribution (Employer) CO/OA</t>
  </si>
  <si>
    <t>Computer Officer cum Office Assistant</t>
  </si>
  <si>
    <t>Loan Officer</t>
  </si>
  <si>
    <t>Peon</t>
  </si>
  <si>
    <t>4021001011090</t>
  </si>
  <si>
    <t>Peon/Cook/Guard (Salaries and Allowance)</t>
  </si>
  <si>
    <t>4021001011095090</t>
  </si>
  <si>
    <t>PF Contribution (Employer) Peon/Cook</t>
  </si>
  <si>
    <t>Cook</t>
  </si>
  <si>
    <t>Peon Field Level</t>
  </si>
  <si>
    <t>Assistant Support Engineer</t>
  </si>
  <si>
    <t>4021001022020010</t>
  </si>
  <si>
    <t>ASE (Salaries and Allowance)</t>
  </si>
  <si>
    <t>4021001022020095010</t>
  </si>
  <si>
    <t>PF Contribution (Employer) ASE</t>
  </si>
  <si>
    <t>Peon-cum-cook</t>
  </si>
  <si>
    <t>BM Incharge</t>
  </si>
  <si>
    <t>Others</t>
  </si>
  <si>
    <t>4021001011091</t>
  </si>
  <si>
    <t>4021001022020095030</t>
  </si>
  <si>
    <t>Auditor</t>
  </si>
  <si>
    <t>4021001022050020</t>
  </si>
  <si>
    <t>Field Auditor (Salaries and Allowance)</t>
  </si>
  <si>
    <t>4021001022050095020</t>
  </si>
  <si>
    <t>PF Contribution (Employer) Auditor</t>
  </si>
  <si>
    <t>Loan Assistant</t>
  </si>
  <si>
    <t>Zonal Auditor</t>
  </si>
  <si>
    <t>4021001022050010</t>
  </si>
  <si>
    <t>Zonal/Division Auditor (Salaries and Allowance)</t>
  </si>
  <si>
    <t>4021001022050095010</t>
  </si>
  <si>
    <t>PF Contribution (Employer) Zonal Auditor</t>
  </si>
  <si>
    <t>Medical Assistant (Health/Clinic)</t>
  </si>
  <si>
    <t>Conveyance &amp; TA/DA (Health/Clinic)</t>
  </si>
  <si>
    <t>4990104001004</t>
  </si>
  <si>
    <t>Medical Assistant's Salary (Health/Clinic)</t>
  </si>
  <si>
    <t>Clinical Physiotherapist (Physiotherapy)</t>
  </si>
  <si>
    <t>4990103001001</t>
  </si>
  <si>
    <t>Physiotherapist's Salary (Physiotherapy)</t>
  </si>
  <si>
    <t>4990104001005</t>
  </si>
  <si>
    <t>Medical Officer's Salary (Health/Clinic)</t>
  </si>
  <si>
    <t xml:space="preserve">Junior Loan Officer </t>
  </si>
  <si>
    <t>4990104001006</t>
  </si>
  <si>
    <t>Other Salary (Health/Clinic)</t>
  </si>
  <si>
    <t>Remittance Officer</t>
  </si>
  <si>
    <t>4021001022020060</t>
  </si>
  <si>
    <t>4990104001007</t>
  </si>
  <si>
    <t>Paramedics/ Health Supervisor's Salary (Health/Clinic)</t>
  </si>
  <si>
    <t>Senior Remittance Officer</t>
  </si>
  <si>
    <t>4990104001008</t>
  </si>
  <si>
    <t>Peon Cum Cook's Salary(Health/Clinic)</t>
  </si>
  <si>
    <t>Trainer (Vermin Composed)</t>
  </si>
  <si>
    <t>Conveyance &amp; TA/DA (Vermin Compost)</t>
  </si>
  <si>
    <t>4990106001002</t>
  </si>
  <si>
    <t>Trainer, Demonstrator &amp; Security 's Salary (Vermin Compost))</t>
  </si>
  <si>
    <t>Field Officer (Primary Education)</t>
  </si>
  <si>
    <t>Conveyance &amp; TA/DA (Primary Education)</t>
  </si>
  <si>
    <t>4990105001005</t>
  </si>
  <si>
    <t>Field Officer's Salary (Primary Education)</t>
  </si>
  <si>
    <t>Medical Officer (Health/Clinic)</t>
  </si>
  <si>
    <t>Senior Program Manager (Health/Clinic)</t>
  </si>
  <si>
    <t>4990104001015</t>
  </si>
  <si>
    <t>Senior Program Manager's Salary (Health/Clinic)</t>
  </si>
  <si>
    <t>Lab Technician (Health/Clinic)</t>
  </si>
  <si>
    <t>Paramedics (Health/Clinic)</t>
  </si>
  <si>
    <t>Health Assistant (Health/Clinic)</t>
  </si>
  <si>
    <t>4990104001003</t>
  </si>
  <si>
    <t>Health Assistant's Salary (Health/Clinic)</t>
  </si>
  <si>
    <t>Peon Cum Cook (Health/Clinic)</t>
  </si>
  <si>
    <t>Deputy Chief Health Officer (Health/Clinic)</t>
  </si>
  <si>
    <t>4990104001002</t>
  </si>
  <si>
    <t>Deputy Chief Health Officer's Salary (Health/Clinic)</t>
  </si>
  <si>
    <t>Medical Officer (Kakina)</t>
  </si>
  <si>
    <t>4990108001001</t>
  </si>
  <si>
    <t>Medical Officer's Salary (Kakina Health Center)</t>
  </si>
  <si>
    <t>Health Assistant (Kakina)</t>
  </si>
  <si>
    <t>4990108001002</t>
  </si>
  <si>
    <t>Health Assistant's Salary (Kakina Health Center)</t>
  </si>
  <si>
    <t>Physiotherapist (Kakina)</t>
  </si>
  <si>
    <t>4990108001003</t>
  </si>
  <si>
    <t>Physiotherapist's Salary (Kakina Health Center)</t>
  </si>
  <si>
    <t>RM (Sanitation)</t>
  </si>
  <si>
    <t>Conveyance/Monitoring Allowance (Sanitation)</t>
  </si>
  <si>
    <t>4990107001004</t>
  </si>
  <si>
    <t>Rm/Trainer's Salary (Sanitation)</t>
  </si>
  <si>
    <t>Principal Branch Manager</t>
  </si>
  <si>
    <t>Principal Loan Officer</t>
  </si>
  <si>
    <t>Sr. Zonal Manager</t>
  </si>
  <si>
    <t>Audit Manager</t>
  </si>
  <si>
    <t>Sr. District Manager</t>
  </si>
  <si>
    <t>Principal Regional Manager</t>
  </si>
  <si>
    <t>Sr. Auditor</t>
  </si>
  <si>
    <t>Sr. Identification &amp; Recovery Manager</t>
  </si>
  <si>
    <t>4021001022020061</t>
  </si>
  <si>
    <t>Loan Recovery Officer/Manager (Salaries and Allowance)</t>
  </si>
  <si>
    <t>4021001022020095061</t>
  </si>
  <si>
    <t>PF Contribution (Employer) Loan Recovery Officer/Manager</t>
  </si>
  <si>
    <t>Junior Auditor</t>
  </si>
  <si>
    <t>Sr. Computer Officer</t>
  </si>
  <si>
    <t>Senior Assistant Branch Manager</t>
  </si>
  <si>
    <t>Vigilance Officer</t>
  </si>
  <si>
    <t>Sr. Vigilance Officer</t>
  </si>
  <si>
    <t>Principle Vigilance Officer</t>
  </si>
  <si>
    <t xml:space="preserve">Office Assistant </t>
  </si>
  <si>
    <t>Support Engineer</t>
  </si>
  <si>
    <t>Junior Remittance Officer</t>
  </si>
  <si>
    <t>4021001022020095060</t>
  </si>
  <si>
    <t>RM (Training)</t>
  </si>
  <si>
    <t>Sr. RM (Training)</t>
  </si>
  <si>
    <t>Junior Assistant Manager (Remittance)</t>
  </si>
  <si>
    <t>RM (Agri &amp; Special Loan)</t>
  </si>
  <si>
    <t>Management Trainee</t>
  </si>
  <si>
    <t>Education Supervisor</t>
  </si>
  <si>
    <t>4990105001003</t>
  </si>
  <si>
    <t>Education Supervisor's Honorarium (Primary Education)</t>
  </si>
  <si>
    <t>Senior Audit Manager</t>
  </si>
  <si>
    <t>Head-Field Administration</t>
  </si>
  <si>
    <t>Deputy-Field Administration</t>
  </si>
  <si>
    <t>Field Administration Associate</t>
  </si>
  <si>
    <t>Miscellaneous &amp; Training Exp (Kakina Health Center)</t>
  </si>
  <si>
    <t>Conveyance &amp; TA/DA (Physiotherapy)</t>
  </si>
  <si>
    <t>TA/DA (Branch Staffs)  -(Expenses)</t>
  </si>
  <si>
    <t>TA/DA</t>
  </si>
  <si>
    <t>TA/DA (Non Branch Staffs)  -(Expenses)</t>
  </si>
  <si>
    <t>NEW AC HEAD</t>
  </si>
  <si>
    <t>NEW AC Code</t>
  </si>
  <si>
    <t>id</t>
  </si>
  <si>
    <t>name</t>
  </si>
  <si>
    <t>type</t>
  </si>
  <si>
    <t>category</t>
  </si>
  <si>
    <t>Motor Cycle Loan</t>
  </si>
  <si>
    <t>Bi-Cycle Loan</t>
  </si>
  <si>
    <t>Rain Coat Loan</t>
  </si>
  <si>
    <t>Provident Fund Loan</t>
  </si>
  <si>
    <t>Advance Salary</t>
  </si>
  <si>
    <t>Personal Loan</t>
  </si>
  <si>
    <t>Computer Loan</t>
  </si>
  <si>
    <t>Power Tiller Loan</t>
  </si>
  <si>
    <t>Gratuity Loan</t>
  </si>
  <si>
    <t>Provident Fund</t>
  </si>
  <si>
    <t>Welfare Fund</t>
  </si>
  <si>
    <t>Security Fund</t>
  </si>
  <si>
    <t>Long Term Savings</t>
  </si>
  <si>
    <t>Employee Savings</t>
  </si>
  <si>
    <t>Employee Security</t>
  </si>
  <si>
    <t>Punishment</t>
  </si>
  <si>
    <t>Basic</t>
  </si>
  <si>
    <t>House Rent (payment)</t>
  </si>
  <si>
    <t>Festival Bonus</t>
  </si>
  <si>
    <t>Medical Allowance</t>
  </si>
  <si>
    <t>Special Allowance</t>
  </si>
  <si>
    <t>Field Allowance</t>
  </si>
  <si>
    <t>merged to conveyance</t>
  </si>
  <si>
    <t>Mobile Bill (payment)</t>
  </si>
  <si>
    <t>Conveyance</t>
  </si>
  <si>
    <t>Others (payment)</t>
  </si>
  <si>
    <t>Staying/night hold allowance (collection)</t>
  </si>
  <si>
    <t>Staying/night hold allowance (payment)</t>
  </si>
  <si>
    <t>both debit and credit is allowed in this head</t>
  </si>
  <si>
    <t>House Rent (collection)</t>
  </si>
  <si>
    <t>Others (collection)</t>
  </si>
  <si>
    <t>Others Bill</t>
  </si>
  <si>
    <t>Advance</t>
  </si>
  <si>
    <t>Mobile Bill (collection)</t>
  </si>
  <si>
    <t>Gas Bill</t>
  </si>
  <si>
    <t>TA</t>
  </si>
  <si>
    <t>name will be TA/DA</t>
  </si>
  <si>
    <t>Rain Coat Bill/Umbrella Bill</t>
  </si>
  <si>
    <t>Fuel Cost</t>
  </si>
  <si>
    <t>Food Allowance</t>
  </si>
  <si>
    <t>Bag Allowance</t>
  </si>
  <si>
    <t>DA</t>
  </si>
  <si>
    <t>merged to TA</t>
  </si>
  <si>
    <t>Helmet Bill</t>
  </si>
  <si>
    <t>Training</t>
  </si>
  <si>
    <t>Motorcycle Registration Bill</t>
  </si>
  <si>
    <t>Calculator Bill</t>
  </si>
  <si>
    <t>Housing Loan (Collection)</t>
  </si>
  <si>
    <t>Extra Charge Allowance</t>
  </si>
  <si>
    <t>Inflationary Adjustment</t>
  </si>
  <si>
    <t>Leave Encashment</t>
  </si>
  <si>
    <t>1188004001004</t>
  </si>
  <si>
    <t>Motorcycle (Staff) Loan Field Office</t>
  </si>
  <si>
    <t>2913004001004</t>
  </si>
  <si>
    <t>Un-realized Service Charge - Motorcycle (Staff) Loan Field Office</t>
  </si>
  <si>
    <t>3019004001004</t>
  </si>
  <si>
    <t>Realized Service Charge - Motorcycle (Staff) Loan Field Office</t>
  </si>
  <si>
    <t>4035006003001</t>
  </si>
  <si>
    <t>Subsidy(Motor Cycle Loan)</t>
  </si>
  <si>
    <t>Misc (Other) Income</t>
  </si>
  <si>
    <t>1188004002</t>
  </si>
  <si>
    <t>Bicycle (Staff) Loan Field Office</t>
  </si>
  <si>
    <t>2913004002</t>
  </si>
  <si>
    <t>Un-realized Service Charge - Bicycle (Staff) Loan Field Office</t>
  </si>
  <si>
    <t>3019004002</t>
  </si>
  <si>
    <t>Realized Service Charge - Bicycle (Staff) Loan Field Office</t>
  </si>
  <si>
    <t>4035006003002</t>
  </si>
  <si>
    <t>Subsidy (Bi-Cycle Loan)</t>
  </si>
  <si>
    <t>1188001003</t>
  </si>
  <si>
    <t>Loan against PF (Staff)-Field Office</t>
  </si>
  <si>
    <t>2913001003</t>
  </si>
  <si>
    <t>Un-realized Service Charge - Loan against PF (Staff)-Field Office</t>
  </si>
  <si>
    <t>3019001003</t>
  </si>
  <si>
    <t>Realized Service Charge - Loan against PF (Staff)-Field Office</t>
  </si>
  <si>
    <t>4035099004</t>
  </si>
  <si>
    <t>Exemption of Staff Loan Interest (Expenses)</t>
  </si>
  <si>
    <t>Advance Against Office Expenses-Field Office</t>
  </si>
  <si>
    <t>2220019002</t>
  </si>
  <si>
    <t>Contribution of ASA-Kallyan Tahabi (Branch Office)</t>
  </si>
  <si>
    <t>2222001</t>
  </si>
  <si>
    <t>Employee Security Deposit (Deposited at Joining)</t>
  </si>
  <si>
    <t>SLNO</t>
  </si>
  <si>
    <t>Transaction Type</t>
  </si>
  <si>
    <t>Loan Name</t>
  </si>
  <si>
    <t>Journal number</t>
  </si>
  <si>
    <t>Debit</t>
  </si>
  <si>
    <t>Credit</t>
  </si>
  <si>
    <t>Value</t>
  </si>
  <si>
    <t>Comments</t>
  </si>
  <si>
    <t>Respective Cash/Bank A/C head</t>
  </si>
  <si>
    <t>Principal Amount</t>
  </si>
  <si>
    <t>if the loan have interest then journal 2 will be executed</t>
  </si>
  <si>
    <t>Collection Amount</t>
  </si>
  <si>
    <t>S.C. part of Collection</t>
  </si>
  <si>
    <t>Amount</t>
  </si>
  <si>
    <t>if the loan have interest then this type transaction is allowed otherwise not.</t>
  </si>
  <si>
    <t>Event</t>
  </si>
  <si>
    <t>Journal Number</t>
  </si>
  <si>
    <t>HR Head AC</t>
  </si>
  <si>
    <t>Type</t>
  </si>
  <si>
    <t>AC Head</t>
  </si>
  <si>
    <t>Narration</t>
  </si>
  <si>
    <t>Comment</t>
  </si>
  <si>
    <t>Salary Payment</t>
  </si>
  <si>
    <t>HRM: [Salary][payment][{processtype}]</t>
  </si>
  <si>
    <t>Deduct for using office Space From Staff Salary (Income)</t>
  </si>
  <si>
    <t>4035011</t>
  </si>
  <si>
    <t>Mobile, Fax &amp; Telephone (Expenses)</t>
  </si>
  <si>
    <t>Gas bill (Deduction from Pay-roll)</t>
  </si>
  <si>
    <t>If any Loan Collection</t>
  </si>
  <si>
    <t>Other Deduction If any</t>
  </si>
  <si>
    <t>Respective Income/Liabilities head</t>
  </si>
  <si>
    <t>All</t>
  </si>
  <si>
    <t>PF Contribution Employer</t>
  </si>
  <si>
    <t>Provident Fund Employer Expense head</t>
  </si>
  <si>
    <t>Service Benefit(Auto)</t>
  </si>
  <si>
    <t>HR AC Code</t>
  </si>
  <si>
    <t>HR AC Head</t>
  </si>
  <si>
    <t>Ac Code</t>
  </si>
  <si>
    <t>Ac head</t>
  </si>
  <si>
    <t>Collection</t>
  </si>
  <si>
    <t>Penalty from Staffs (income)</t>
  </si>
  <si>
    <t>1990003</t>
  </si>
  <si>
    <t xml:space="preserve">Head Office Current Accounts </t>
  </si>
  <si>
    <t>4035018001</t>
  </si>
  <si>
    <t>Rain Coat, Umbrella, Bags &amp; Calculator (work-aid Expenses)</t>
  </si>
  <si>
    <t>4035032012</t>
  </si>
  <si>
    <t>Training &amp; PSO (Expenses)</t>
  </si>
  <si>
    <t>4035006001002</t>
  </si>
  <si>
    <t>Non-Branch Repairing &amp; Maintenance (Motorcycle and bi-cycle)</t>
  </si>
  <si>
    <t>4035006001001</t>
  </si>
  <si>
    <t>Repairing &amp; Maintenance-Branch Staffs (Motorcycle and bi-cycle)</t>
  </si>
  <si>
    <t>Respective TA/DA expense head</t>
  </si>
  <si>
    <t>Respective TA/DA expense head of the social program employee</t>
  </si>
  <si>
    <t>4035006002002</t>
  </si>
  <si>
    <t xml:space="preserve">Non-Branch Motorcycle Registration Fee </t>
  </si>
  <si>
    <t>4035006002001</t>
  </si>
  <si>
    <t>Motorcycle Registration Fee (Branch-Staffs)</t>
  </si>
  <si>
    <t>Payment</t>
  </si>
  <si>
    <t>Staying/night hold allowance</t>
  </si>
  <si>
    <t>4035060</t>
  </si>
  <si>
    <t>Medical &amp; Treatment Expenses (Employee)</t>
  </si>
  <si>
    <t>2220020002</t>
  </si>
  <si>
    <t>Donation Paid (ASA Paribar Kallyan Tahabil)</t>
  </si>
  <si>
    <t>2220019003</t>
  </si>
  <si>
    <t>Donation Paid To Staff (ASA-Kallyan Tahabi)</t>
  </si>
  <si>
    <t>new head</t>
  </si>
  <si>
    <t>Social Program</t>
  </si>
  <si>
    <t>Health/Clinic</t>
  </si>
  <si>
    <t>Physiotherapy</t>
  </si>
  <si>
    <t>Vermin Compost</t>
  </si>
  <si>
    <t>Primary Education</t>
  </si>
  <si>
    <t>Kakina Health Center</t>
  </si>
  <si>
    <t>Sanitation</t>
  </si>
  <si>
    <t>Employee type</t>
  </si>
  <si>
    <t>Designation Tag for TA/DA</t>
  </si>
  <si>
    <t>Employee Type</t>
  </si>
  <si>
    <t>Loan Collection head</t>
  </si>
  <si>
    <t>format: HRM: [{HR A/C Heead}][Collection][{processtype}]</t>
  </si>
  <si>
    <t>consider cash payment</t>
  </si>
  <si>
    <t>{Processtype} can be 'Cash' or 'Cheque' or 'Transfer'</t>
  </si>
  <si>
    <t>{Processtype} can be 'Cash' or 'Cheque'
Example: HRM: [Salary][payment][{Cheque}]</t>
  </si>
  <si>
    <t>Process</t>
  </si>
  <si>
    <t>Cash/Cheque</t>
  </si>
  <si>
    <t>Journal</t>
  </si>
  <si>
    <t>Journal Type</t>
  </si>
  <si>
    <t>Late Fee</t>
  </si>
  <si>
    <t>??</t>
  </si>
  <si>
    <t>HR AC TYPE</t>
  </si>
  <si>
    <t>1926001001</t>
  </si>
  <si>
    <t>Inter-Branch Transfer - Staff PF Loan (R/T-D/R)</t>
  </si>
  <si>
    <t>1926001002</t>
  </si>
  <si>
    <t>Inter-Branch Transfer - Staff PF Loan  (R/T-U. SC.)</t>
  </si>
  <si>
    <t>S.C Outstanding</t>
  </si>
  <si>
    <t>Principal+S.C Outstanding</t>
  </si>
  <si>
    <t>1926001004</t>
  </si>
  <si>
    <t>Inter-Branch Transfer - Motorcycle Loan (R/T- Motorcycle Loan)</t>
  </si>
  <si>
    <t>1926001006</t>
  </si>
  <si>
    <t>Inter-Branch Transfer - Bi-Cycle Loan (R/T- Bi-Cycle Loan)</t>
  </si>
  <si>
    <t>Principal</t>
  </si>
  <si>
    <t>comments</t>
  </si>
  <si>
    <t>only principal outstanding because have no service charged</t>
  </si>
  <si>
    <t>1926001099</t>
  </si>
  <si>
    <t>Inter-Branch Transfer - Advance Staff (R/T- Adv.Staff)</t>
  </si>
  <si>
    <t>Advance balance amount</t>
  </si>
  <si>
    <t>1926001003</t>
  </si>
  <si>
    <t>Inter-Branch Transfer - Staff Security Fund (R/T- Staff Security)</t>
  </si>
  <si>
    <t>Security Amount</t>
  </si>
  <si>
    <t>HRM:[Employee Security][Return][Transfer]</t>
  </si>
  <si>
    <t>Employee Transfer</t>
  </si>
  <si>
    <t>Employee Receive</t>
  </si>
  <si>
    <t>Transaction at Transferring Branch</t>
  </si>
  <si>
    <t>Transaction at Receiving Branch</t>
  </si>
  <si>
    <t>Which Branch</t>
  </si>
  <si>
    <t>HRM:[Employee Security][Collection][Transfer]</t>
  </si>
  <si>
    <t>{Processtype} can be Cash or Cheque</t>
  </si>
  <si>
    <t>Disbursed</t>
  </si>
  <si>
    <t>Service Charge Exemption</t>
  </si>
  <si>
    <t>Subsidy</t>
  </si>
  <si>
    <t>Designation mark wise TA/DA Expense head</t>
  </si>
  <si>
    <t>Employee Accident(Medical Help)</t>
  </si>
  <si>
    <t>Family Medical(Paribar Kallayan Fund)</t>
  </si>
  <si>
    <t>Medical Help for Employee</t>
  </si>
  <si>
    <t>Return/Exemption</t>
  </si>
  <si>
    <t>will be inactive</t>
  </si>
  <si>
    <t>{Total Salary Debit Amount+ PF Contribution Employer Debit}* {Servcie Benefit %}</t>
  </si>
  <si>
    <t>HRM: [Provident Fund][payment]['Non-Cash Transfer']</t>
  </si>
  <si>
    <t>HRM: [Service Benefit][payment][['Non-Cash Transfer']]</t>
  </si>
  <si>
    <t>Employee Transfer (Branch to Branch)</t>
  </si>
  <si>
    <t>Employee Transfer (Branch to Head Office)</t>
  </si>
  <si>
    <t>Transfer to/from Head Office- Staff PF Loan (R/T-D/R)</t>
  </si>
  <si>
    <t>Transfer to/from Head Office- Motorcycle Loan (R/T- Motorcycle Loan)</t>
  </si>
  <si>
    <t>Transfer to/from Head Office- Bi-Cycle Loan (R/T- Bi-Cycle Loan)</t>
  </si>
  <si>
    <t>Transfer to/from Head Office - Advance Staff (R/T- Adv.Staff)</t>
  </si>
  <si>
    <t>Transaction at Receiving Head Office</t>
  </si>
  <si>
    <t>Final Release of Employee- Motorcycle Loan (R/T- Motorcycle Loan)</t>
  </si>
  <si>
    <t>Final Release of Employee- Bi-Cycle Loan (R/T- Bi-Cycle Loan)</t>
  </si>
  <si>
    <t>Final Release of Employee - Advance Staff (R/T- Adv.Staff)</t>
  </si>
  <si>
    <t>Final Release of Employee- Staff Security Fund (R/T- Staff Security)</t>
  </si>
  <si>
    <t>1926004003</t>
  </si>
  <si>
    <t>1926003004</t>
  </si>
  <si>
    <t>1926003006</t>
  </si>
  <si>
    <t>1926003099</t>
  </si>
  <si>
    <t>1926003001</t>
  </si>
  <si>
    <t>1227002</t>
  </si>
  <si>
    <t xml:space="preserve"> Final Release of Employee- Staff PF Loan (R/T-D/R)</t>
  </si>
  <si>
    <t>No Automatic Transactions at receiving Head Office Level</t>
  </si>
  <si>
    <t>1926004002</t>
  </si>
  <si>
    <t>1926004001</t>
  </si>
  <si>
    <t>1926004004</t>
  </si>
  <si>
    <t>1926004006</t>
  </si>
  <si>
    <t>1926004099</t>
  </si>
  <si>
    <t>Employee Release From Branch</t>
  </si>
  <si>
    <t>Transaction at Releasing Branch</t>
  </si>
  <si>
    <t>Final Release of Employee- Staff PF Loan  (R/T-U. SC.)</t>
  </si>
  <si>
    <t>?</t>
  </si>
  <si>
    <t>Service benefit</t>
  </si>
  <si>
    <t>Any Others Payment Head</t>
  </si>
  <si>
    <t xml:space="preserve">Net Salary Cash/Bank Amount </t>
  </si>
  <si>
    <t>Respective Head wise Amt.</t>
  </si>
  <si>
    <t>Provident Fund Deduct Amount</t>
  </si>
  <si>
    <t>Welfare Fund Deduct Amount</t>
  </si>
  <si>
    <t>House Rent Deduct Amount</t>
  </si>
  <si>
    <t>Others Collection Deduct Amount</t>
  </si>
  <si>
    <t>Mobile Bill Collection Deduct Amount</t>
  </si>
  <si>
    <t>Gas Bill Collection Deduct Amount</t>
  </si>
  <si>
    <t>Voucher Type</t>
  </si>
  <si>
    <t>Debit Voucher</t>
  </si>
  <si>
    <t>Journal Voucher</t>
  </si>
  <si>
    <t/>
  </si>
  <si>
    <t>Principal+S.C. Amount</t>
  </si>
  <si>
    <t>Principal Amount Cash/Cheque Disburse</t>
  </si>
  <si>
    <t>S.C. Amount</t>
  </si>
  <si>
    <t>-Principal+S.C Outstanding</t>
  </si>
  <si>
    <t>-S.C Outstanding</t>
  </si>
  <si>
    <t>-Principal</t>
  </si>
  <si>
    <t>-Advance balance amount</t>
  </si>
  <si>
    <t>-Security Amount</t>
  </si>
  <si>
    <t>Credit Voucher</t>
  </si>
  <si>
    <t>Deduction of Excess Basic Paid</t>
  </si>
  <si>
    <t>Deduction of Excess House Rent Paid</t>
  </si>
  <si>
    <t>Deduction of Excess Special Allowance Paid</t>
  </si>
  <si>
    <t>Deduction of Excess Medical Allowance Paid</t>
  </si>
  <si>
    <t>Deduction of Excess Conveyance Allowance Paid</t>
  </si>
  <si>
    <t>Deduction of Excess Leave Encashment Paid</t>
  </si>
  <si>
    <t>Deduction of Excess Inflationary Adjustment Paid</t>
  </si>
  <si>
    <t>Deduction of Excess Charge Allowance Paid</t>
  </si>
  <si>
    <t>Deduction of Excess Festival Bonus Paid</t>
  </si>
  <si>
    <t>Deduction of Excess TA/DA Paid</t>
  </si>
  <si>
    <t>Deduction for lost/damage of Assets</t>
  </si>
  <si>
    <t>Branch Others (Salaries and Allowance)</t>
  </si>
  <si>
    <t>4021001011095091</t>
  </si>
  <si>
    <t>PF Contribution (Employer) Others Branch</t>
  </si>
  <si>
    <t>4021001022020030</t>
  </si>
  <si>
    <t>Non branch Others (Salaries and Allowance)</t>
  </si>
  <si>
    <t>PF Contribution (Employer) Others Non Branch</t>
  </si>
  <si>
    <t>Allowance Deduction</t>
  </si>
  <si>
    <t>Junior Accounts Monitoring officer</t>
  </si>
  <si>
    <t>Accounts Monitoring officer</t>
  </si>
  <si>
    <t>Program Officer Health/Clinic</t>
  </si>
  <si>
    <t>Loan Recovery Manager</t>
  </si>
  <si>
    <t>Technical Officer (Bio-gas)</t>
  </si>
  <si>
    <t>Manager in Charge( Agri Branch)</t>
  </si>
  <si>
    <t>Officer (Agri Branch)-</t>
  </si>
  <si>
    <t>Cashier cum computer operator</t>
  </si>
  <si>
    <t>Sr. Officer (MSME)</t>
  </si>
  <si>
    <t>Officer (MSME)</t>
  </si>
  <si>
    <t>Sr. Assistant Manager(MSME)</t>
  </si>
  <si>
    <t>Assistant Manager(MSME)</t>
  </si>
  <si>
    <t>Manager(MSME)</t>
  </si>
  <si>
    <t>Divisional Manager</t>
  </si>
  <si>
    <t>Additional Divisional Manager</t>
  </si>
  <si>
    <t>Divisional Manager-in-Charge</t>
  </si>
  <si>
    <t>Assistant Manager (Remittance)</t>
  </si>
  <si>
    <t>4990104001014</t>
  </si>
  <si>
    <t>Program Officer's Salary(Health/Clinic)</t>
  </si>
  <si>
    <t>Remittance/Accounts Monitoring Officer (Salaries and Allowance)</t>
  </si>
  <si>
    <t>PF Contribution (Employer) Remittance/Accounts Monitoring Officer</t>
  </si>
  <si>
    <t>4035099095</t>
  </si>
  <si>
    <t>Loss/Gain on Fixed Asset Sale</t>
  </si>
  <si>
    <t xml:space="preserve">Lost/Damage Amounts </t>
  </si>
  <si>
    <t>Deduct TA/DA Amount</t>
  </si>
  <si>
    <t>Deduct from the Ac Payment head of Salary &amp; Allowance Expense Head</t>
  </si>
  <si>
    <t>Sum of all AC head payment minus(-) Deduction head of Salary &amp; Allowance Expense head</t>
  </si>
  <si>
    <t xml:space="preserve">This is journal is consider the employees who are only Branch and Non Branch Tag in Designation </t>
  </si>
  <si>
    <t>Cash/Bank A/C head/Salary Head</t>
  </si>
  <si>
    <t>Respective Cash/Bank A/C head/Salary Head</t>
  </si>
  <si>
    <t>dd</t>
  </si>
  <si>
    <t>Late Fee/Penal Sertvice Charge</t>
  </si>
  <si>
    <t xml:space="preserve"> Late Fee/Penal Sertvice Charge</t>
  </si>
  <si>
    <t>Late Fee/Penal Sertvice Chargee</t>
  </si>
  <si>
    <t>Driver</t>
  </si>
  <si>
    <t>4990111001</t>
  </si>
  <si>
    <t>TA/DA (Health Complex)</t>
  </si>
  <si>
    <t>Health Complex</t>
  </si>
  <si>
    <t>If any Loan Penal Service Charge Collection</t>
  </si>
  <si>
    <t>as per Penal Service Charge in loan trans. Journal</t>
  </si>
  <si>
    <t>Penal Service Charge Amount</t>
  </si>
  <si>
    <t>Head Name</t>
  </si>
  <si>
    <t>Head Code</t>
  </si>
  <si>
    <t>Dr</t>
  </si>
  <si>
    <t>Cr</t>
  </si>
  <si>
    <t>Salary &amp; Allowance Expense head</t>
  </si>
  <si>
    <t>Salary &amp; Allowance Expense Code</t>
  </si>
  <si>
    <t xml:space="preserve">Collect Provident Loan Installment andPenal Service with Salary Disbursement and </t>
  </si>
  <si>
    <t>Collect Installment</t>
  </si>
  <si>
    <t>Collect Penal Charge</t>
  </si>
  <si>
    <t>Cash/Bank Net Salary</t>
  </si>
  <si>
    <t>Total Salary</t>
  </si>
  <si>
    <t>Health Center-in-Charge (Health/Clinic)</t>
  </si>
  <si>
    <t>Extra Allowance</t>
  </si>
  <si>
    <t>Deduction of Extra Allowance</t>
  </si>
  <si>
    <t>Personnel Exp (Integrated Health Center)</t>
  </si>
  <si>
    <t>Integrated Health Center</t>
  </si>
  <si>
    <t>Health Center-in-Charge Salary (Health/Clinic)</t>
  </si>
  <si>
    <r>
      <t>Medical Officer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</si>
  <si>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Physiotherapist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</si>
  <si>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Medical Technologist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</si>
  <si>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Counselor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</si>
  <si>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Paramedic/Satellite paramedic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</si>
  <si>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Receptionist/Computer operator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</si>
  <si>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Health Assistant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</si>
  <si>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r>
      <t>Peon/Aya (</t>
    </r>
    <r>
      <rPr>
        <strike/>
        <sz val="11"/>
        <rFont val="Calibri"/>
        <family val="2"/>
        <scheme val="minor"/>
      </rPr>
      <t xml:space="preserve">Health Complex </t>
    </r>
    <r>
      <rPr>
        <sz val="11"/>
        <rFont val="Calibri"/>
        <family val="2"/>
        <scheme val="minor"/>
      </rPr>
      <t>Integrated Health Center)</t>
    </r>
  </si>
  <si>
    <t>Senior Static Paramedics (Integrated Health Center)</t>
  </si>
  <si>
    <t>Static Paramedics (Integrated Health Center)</t>
  </si>
  <si>
    <t>Patient Caretaker</t>
  </si>
  <si>
    <t>4990103001002</t>
  </si>
  <si>
    <t>Patient Attendant,Nurse &amp; Others Salary (Physiotherapy)</t>
  </si>
  <si>
    <t>1188005001</t>
  </si>
  <si>
    <t>1926001008</t>
  </si>
  <si>
    <t>added on 29 NOV 2020</t>
  </si>
  <si>
    <t>only principal outstanding because have no service charged. added on 29 NOV 2020</t>
  </si>
  <si>
    <t>1926003008</t>
  </si>
  <si>
    <t>1926004008</t>
  </si>
  <si>
    <t>4035006003003</t>
  </si>
  <si>
    <t xml:space="preserve">Collect Motor/Bi Cycle/Mobile Loan Installment andPenal Service with Salary Disbursement and </t>
  </si>
  <si>
    <t>Mobile Loan (Set Purchase)</t>
  </si>
  <si>
    <t>changes on 7feb21</t>
  </si>
  <si>
    <t>Mobile Set Purchase(Staff) Loan Field Office</t>
  </si>
  <si>
    <t>changes on 07 FEB 2021</t>
  </si>
  <si>
    <t>Subsidy (Mobile Loan(Set Purchase))</t>
  </si>
  <si>
    <t>Inter-Branch Transfer - Mobile Loan (Set Purchase)(R/T- Mobile Loan (Set Purchase))</t>
  </si>
  <si>
    <t>Transfer to/from Head Office- Mobile Loan(Set Purchase) (R/T- Mobile Loan(Set Purchase))</t>
  </si>
  <si>
    <t>Final Release of Employee- Mobile Loan(Set Purchase) (R/T- Mobile Loan(Set Purchase))</t>
  </si>
  <si>
    <t>Sr. Additional Divisional Manager</t>
  </si>
  <si>
    <t>Agricultural Trainer</t>
  </si>
  <si>
    <t>Senior Agricultural Trainer</t>
  </si>
  <si>
    <t>4035099099</t>
  </si>
  <si>
    <t>Misc. (Other) Expenses</t>
  </si>
  <si>
    <t>4999001</t>
  </si>
  <si>
    <t>4999002</t>
  </si>
  <si>
    <t>Service Benefit (Expense)-Branch</t>
  </si>
  <si>
    <t>Service Benefit (Expense)-Non Branch</t>
  </si>
  <si>
    <t>Service Benefit Expense Head as per designation</t>
  </si>
  <si>
    <t>Senior Education Officer</t>
  </si>
  <si>
    <t xml:space="preserve">Service Benefit Calculated? </t>
  </si>
  <si>
    <t>Yes</t>
  </si>
  <si>
    <t>No</t>
  </si>
  <si>
    <t>Manager (Agri Branch)</t>
  </si>
  <si>
    <t>Sr.RM (Agri &amp; Special Loan)</t>
  </si>
  <si>
    <t>Sr. Manager(MSME)</t>
  </si>
  <si>
    <t>Construction Manager</t>
  </si>
  <si>
    <t>Manager In-Charge (MSME)</t>
  </si>
  <si>
    <t>Technical Officer (Agriculture)</t>
  </si>
  <si>
    <t>old</t>
  </si>
  <si>
    <t>Designation tag wise Rain Coat Bill/Umbrella Bill Expense head</t>
  </si>
  <si>
    <t>Designation tag wise Bag Allowance Expense head</t>
  </si>
  <si>
    <t>Designation tag wise Calculator Bill Expense head</t>
  </si>
  <si>
    <t>4990105002010</t>
  </si>
  <si>
    <t>Miscellaneous Expenses (ASA Education Program)</t>
  </si>
  <si>
    <t>4990104003001</t>
  </si>
  <si>
    <t>Bag, Umbrella &amp; Apron (Health/Clinic)</t>
  </si>
  <si>
    <t>4990103002004</t>
  </si>
  <si>
    <t>Miscellaneous Expenses (Physiotherapy)</t>
  </si>
  <si>
    <t>4990111002003</t>
  </si>
  <si>
    <t>Work aid (Integrated Health Center)</t>
  </si>
  <si>
    <t>Designation Tag for Rain Coat Bill/Umbrella Bill/Bag Allowance/Calculator Bill</t>
  </si>
  <si>
    <t>new</t>
  </si>
  <si>
    <t>Deposit against irregularity in Disbursement</t>
  </si>
  <si>
    <t>Deduct amount</t>
  </si>
  <si>
    <t>Medical Assistant (Integrated Health Center)</t>
  </si>
  <si>
    <t>Fine</t>
  </si>
  <si>
    <t>TA/DA (Branch Staffs) -(Expenses) (4035021006)</t>
  </si>
  <si>
    <t>TA/DA (Non Branch Staffs)-(Expenses) (4035021008)</t>
  </si>
  <si>
    <t>Expenses for Work-Aid (4035018)</t>
  </si>
  <si>
    <t>Travelling &amp; Conveyance (4035021)</t>
  </si>
  <si>
    <t>Penalty With 43%</t>
  </si>
  <si>
    <t>Electricity/Gas/WASA etc. (Expenses) (4035002)</t>
  </si>
  <si>
    <t>Stationeries (Expenses) (4035003)</t>
  </si>
  <si>
    <t>Office Maintenance (Expenses) (4035005001)</t>
  </si>
  <si>
    <t>Expenses for Tea, Sugar, Others (Expenses) (4035005002)</t>
  </si>
  <si>
    <t>Office Repairing and Cleaning (Expenses) (4035005003)</t>
  </si>
  <si>
    <t>Repairing &amp; Maintenance-Branch Staffs (Motorcycle and bi-cycle) (4035006001001)</t>
  </si>
  <si>
    <t>Non-Branch Repairing &amp; Maintenance (Motorcycle and bi-cycle) (4035006001002)</t>
  </si>
  <si>
    <t>Motorcycle Registration Fee (Branch-Staffs) (4035006002001)</t>
  </si>
  <si>
    <t>Non-Branch Motorcycle Registration Fee (4035006002002)</t>
  </si>
  <si>
    <t>Subsidy(Motor Cycle Loan) (4035006003001)</t>
  </si>
  <si>
    <t>Subsidy (Bi-Cycle Loan) (4035006003002)</t>
  </si>
  <si>
    <t>Subsidy (Mobile Loan(Set Purchase)) (4035006003003)</t>
  </si>
  <si>
    <t>Sign Board (Expenses) (4035008003)</t>
  </si>
  <si>
    <t>Newspaper (Expense) (4035009001)</t>
  </si>
  <si>
    <t>Mobile, Fax &amp; Telephone (Expenses) (4035011)</t>
  </si>
  <si>
    <t>Postage, Stamp, and Court Fee (Expenses) (4035012)</t>
  </si>
  <si>
    <t>Internet bill (Expenses) (4035014)</t>
  </si>
  <si>
    <t>Crockery Expenses (Expenses) (4035019)</t>
  </si>
  <si>
    <t>Bank Charge and other duties (4035020)</t>
  </si>
  <si>
    <t>Coordination Meeting (Venue &amp; Fooding, etc) (Expenses) (4035031)</t>
  </si>
  <si>
    <t>Training &amp; PSO (Expenses) (4035032012)</t>
  </si>
  <si>
    <t>SMAP Member and Staff Training (Expenses) (4035032021)</t>
  </si>
  <si>
    <t>Agro-business Training (Expenses) (4035032033)</t>
  </si>
  <si>
    <t>Legal Expenses (Branch) (4035055)</t>
  </si>
  <si>
    <t>Medical &amp; Treatment Grant (Member) (4035059)</t>
  </si>
  <si>
    <t>Medical &amp; Treatment Expenses (Employee) (4035060)</t>
  </si>
  <si>
    <t>Donation (চাঁদা/অনুদান) for Community &amp; National Activities (4035061)</t>
  </si>
  <si>
    <t>Land Development &amp; Other (4035063)</t>
  </si>
  <si>
    <t>Building Repairing &amp; Maintenance (4035064)</t>
  </si>
  <si>
    <t>Repair &amp; Maintenance of Equipment and others (4035067)</t>
  </si>
  <si>
    <t>Municipal Tax, Land Tax &amp; Rates (4035068)</t>
  </si>
  <si>
    <t>Commission (Paid) on Bad Debt Realization (4035092001)</t>
  </si>
  <si>
    <t>Expenses for Remittance (Commission &amp; Others) (4035092002)</t>
  </si>
  <si>
    <t>Lapsed Savings Return (Expense) to Client (4035099001)</t>
  </si>
  <si>
    <t>Staff/Official Recruitment Expenses (4035099003)</t>
  </si>
  <si>
    <t>Staying/Night hold allowance (4035099006)</t>
  </si>
  <si>
    <t>Loss/Gain on Fixed Asset Sale (4035099095)</t>
  </si>
  <si>
    <t>Misc. (Other) Expenses (4035099099)</t>
  </si>
  <si>
    <t>Exemption of Staff Loan Interest (Expenses) (4035099004)</t>
  </si>
  <si>
    <t>Stealing (চুরি) &amp; Snatching (রেনিাই) of Money (Expenses) (4035099005)</t>
  </si>
  <si>
    <t>Loan Security and Risk Fund (Member) (2012001)</t>
  </si>
  <si>
    <t>Donation Paid (ASA Paribar Kallyan Tahabil) (2220020002)</t>
  </si>
  <si>
    <t>Donation Paid To Staff (ASA-Kallyan Tahabil) (2220019003)</t>
  </si>
  <si>
    <t>Penalty from staff income (3050002001)</t>
  </si>
  <si>
    <t>Loan Security and Risk Fund (Member) (2012001)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</si>
</sst>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1">
    <xf numFmtId="0" fontId="0" fillId="0" borderId="0" xfId="0"/>
    <xf numFmtId="49" fontId="3" fillId="0" borderId="1" xfId="0" quotePrefix="1" applyNumberFormat="1" applyFont="1" applyBorder="1" applyAlignment="1">
      <alignment horizontal="left"/>
    </xf>
    <xf numFmtId="0" fontId="3" fillId="0" borderId="1" xfId="0" quotePrefix="1" applyFont="1" applyBorder="1"/>
    <xf numFmtId="0" fontId="0" fillId="5" borderId="0" xfId="0" applyFill="1"/>
    <xf numFmtId="0" fontId="3" fillId="0" borderId="1" xfId="0" applyFont="1" applyBorder="1"/>
    <xf numFmtId="0" fontId="0" fillId="0" borderId="0" xfId="0" quotePrefix="1"/>
    <xf numFmtId="0" fontId="0" fillId="3" borderId="0" xfId="0" applyFill="1"/>
    <xf numFmtId="0" fontId="0" fillId="6" borderId="0" xfId="0" applyFill="1"/>
    <xf numFmtId="0" fontId="0" fillId="7" borderId="0" xfId="0" applyFill="1"/>
    <xf numFmtId="1" fontId="3" fillId="0" borderId="1" xfId="0" quotePrefix="1" applyNumberFormat="1" applyFont="1" applyBorder="1" applyAlignment="1">
      <alignment horizontal="left"/>
    </xf>
    <xf numFmtId="0" fontId="0" fillId="0" borderId="1" xfId="0" applyBorder="1"/>
    <xf numFmtId="0" fontId="0" fillId="0" borderId="7" xfId="0" applyBorder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10" borderId="0" xfId="0" applyFill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1" xfId="0" quotePrefix="1" applyBorder="1"/>
    <xf numFmtId="1" fontId="0" fillId="0" borderId="1" xfId="0" quotePrefix="1" applyNumberFormat="1" applyBorder="1" applyAlignment="1">
      <alignment horizontal="left"/>
    </xf>
    <xf numFmtId="49" fontId="0" fillId="0" borderId="1" xfId="0" quotePrefix="1" applyNumberForma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3" fillId="11" borderId="1" xfId="0" quotePrefix="1" applyFont="1" applyFill="1" applyBorder="1"/>
    <xf numFmtId="0" fontId="3" fillId="11" borderId="1" xfId="0" applyFont="1" applyFill="1" applyBorder="1"/>
    <xf numFmtId="0" fontId="3" fillId="11" borderId="1" xfId="0" applyFont="1" applyFill="1" applyBorder="1" applyAlignment="1">
      <alignment horizontal="left"/>
    </xf>
    <xf numFmtId="0" fontId="0" fillId="11" borderId="1" xfId="0" applyFill="1" applyBorder="1"/>
    <xf numFmtId="0" fontId="0" fillId="11" borderId="1" xfId="0" quotePrefix="1" applyFill="1" applyBorder="1"/>
    <xf numFmtId="0" fontId="1" fillId="0" borderId="1" xfId="0" quotePrefix="1" applyFont="1" applyBorder="1"/>
    <xf numFmtId="49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2" xfId="0" applyBorder="1"/>
    <xf numFmtId="0" fontId="0" fillId="2" borderId="0" xfId="0" applyFill="1" applyAlignment="1">
      <alignment vertical="top" wrapText="1"/>
    </xf>
    <xf numFmtId="0" fontId="0" fillId="2" borderId="0" xfId="0" applyFill="1"/>
    <xf numFmtId="0" fontId="0" fillId="2" borderId="1" xfId="0" applyFill="1" applyBorder="1"/>
    <xf numFmtId="0" fontId="0" fillId="0" borderId="9" xfId="0" applyBorder="1" applyAlignment="1">
      <alignment horizontal="left" vertical="center"/>
    </xf>
    <xf numFmtId="0" fontId="3" fillId="9" borderId="1" xfId="0" quotePrefix="1" applyFont="1" applyFill="1" applyBorder="1"/>
    <xf numFmtId="0" fontId="3" fillId="9" borderId="1" xfId="0" applyFont="1" applyFill="1" applyBorder="1"/>
    <xf numFmtId="0" fontId="3" fillId="0" borderId="0" xfId="0" applyFont="1"/>
    <xf numFmtId="0" fontId="0" fillId="9" borderId="0" xfId="0" applyFill="1"/>
    <xf numFmtId="0" fontId="0" fillId="12" borderId="0" xfId="0" applyFill="1"/>
    <xf numFmtId="0" fontId="0" fillId="12" borderId="1" xfId="0" applyFill="1" applyBorder="1"/>
    <xf numFmtId="0" fontId="0" fillId="12" borderId="1" xfId="0" quotePrefix="1" applyFill="1" applyBorder="1"/>
    <xf numFmtId="0" fontId="1" fillId="12" borderId="1" xfId="0" quotePrefix="1" applyFont="1" applyFill="1" applyBorder="1"/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9" borderId="1" xfId="0" applyFill="1" applyBorder="1"/>
    <xf numFmtId="0" fontId="0" fillId="9" borderId="1" xfId="0" quotePrefix="1" applyFill="1" applyBorder="1"/>
    <xf numFmtId="0" fontId="3" fillId="0" borderId="7" xfId="0" applyFont="1" applyBorder="1"/>
    <xf numFmtId="1" fontId="5" fillId="0" borderId="1" xfId="0" quotePrefix="1" applyNumberFormat="1" applyFont="1" applyBorder="1" applyAlignment="1">
      <alignment horizontal="left"/>
    </xf>
    <xf numFmtId="0" fontId="5" fillId="0" borderId="1" xfId="0" applyFont="1" applyBorder="1"/>
    <xf numFmtId="0" fontId="3" fillId="0" borderId="6" xfId="0" applyFont="1" applyBorder="1"/>
    <xf numFmtId="0" fontId="3" fillId="0" borderId="1" xfId="0" applyFont="1" applyBorder="1" applyAlignment="1">
      <alignment vertical="center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49" fontId="3" fillId="0" borderId="3" xfId="0" quotePrefix="1" applyNumberFormat="1" applyFont="1" applyBorder="1" applyAlignment="1">
      <alignment horizontal="left"/>
    </xf>
    <xf numFmtId="49" fontId="3" fillId="0" borderId="3" xfId="0" quotePrefix="1" applyNumberFormat="1" applyFont="1" applyBorder="1"/>
    <xf numFmtId="0" fontId="3" fillId="0" borderId="2" xfId="0" quotePrefix="1" applyFont="1" applyBorder="1"/>
    <xf numFmtId="0" fontId="3" fillId="0" borderId="2" xfId="0" applyFont="1" applyBorder="1"/>
    <xf numFmtId="0" fontId="6" fillId="0" borderId="0" xfId="0" applyFont="1" applyAlignment="1">
      <alignment horizontal="left" vertical="top"/>
    </xf>
    <xf numFmtId="0" fontId="6" fillId="0" borderId="0" xfId="0" applyFont="1"/>
    <xf numFmtId="0" fontId="6" fillId="0" borderId="1" xfId="0" applyFont="1" applyBorder="1"/>
    <xf numFmtId="0" fontId="7" fillId="0" borderId="3" xfId="0" quotePrefix="1" applyFont="1" applyBorder="1"/>
    <xf numFmtId="0" fontId="7" fillId="0" borderId="2" xfId="0" applyFont="1" applyBorder="1"/>
    <xf numFmtId="0" fontId="7" fillId="0" borderId="1" xfId="0" applyFont="1" applyBorder="1"/>
    <xf numFmtId="0" fontId="7" fillId="0" borderId="1" xfId="0" quotePrefix="1" applyFont="1" applyBorder="1"/>
    <xf numFmtId="0" fontId="3" fillId="0" borderId="0" xfId="0" applyFont="1" applyAlignment="1">
      <alignment horizontal="left" vertical="top"/>
    </xf>
    <xf numFmtId="0" fontId="3" fillId="0" borderId="3" xfId="0" quotePrefix="1" applyFont="1" applyBorder="1"/>
    <xf numFmtId="0" fontId="4" fillId="0" borderId="0" xfId="0" applyFont="1" applyAlignment="1">
      <alignment vertical="center" wrapText="1"/>
    </xf>
    <xf numFmtId="0" fontId="0" fillId="0" borderId="3" xfId="0" applyBorder="1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quotePrefix="1" applyFont="1" applyBorder="1" applyAlignment="1">
      <alignment horizontal="left" vertical="top"/>
    </xf>
    <xf numFmtId="1" fontId="3" fillId="0" borderId="1" xfId="0" quotePrefix="1" applyNumberFormat="1" applyFont="1" applyBorder="1" applyAlignment="1">
      <alignment horizontal="left" vertical="top"/>
    </xf>
    <xf numFmtId="49" fontId="0" fillId="0" borderId="3" xfId="0" quotePrefix="1" applyNumberFormat="1" applyBorder="1" applyAlignment="1">
      <alignment horizontal="left" vertical="top"/>
    </xf>
    <xf numFmtId="49" fontId="0" fillId="0" borderId="1" xfId="0" quotePrefix="1" applyNumberFormat="1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49" fontId="0" fillId="0" borderId="13" xfId="0" quotePrefix="1" applyNumberFormat="1" applyBorder="1" applyAlignment="1">
      <alignment horizontal="left" vertical="top"/>
    </xf>
    <xf numFmtId="49" fontId="0" fillId="0" borderId="5" xfId="0" quotePrefix="1" applyNumberFormat="1" applyBorder="1" applyAlignment="1">
      <alignment horizontal="left" vertical="top"/>
    </xf>
    <xf numFmtId="0" fontId="0" fillId="0" borderId="5" xfId="0" quotePrefix="1" applyBorder="1" applyAlignment="1">
      <alignment horizontal="left" vertical="top"/>
    </xf>
    <xf numFmtId="1" fontId="3" fillId="0" borderId="5" xfId="0" quotePrefix="1" applyNumberFormat="1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quotePrefix="1" applyBorder="1" applyAlignment="1">
      <alignment horizontal="left" vertical="top"/>
    </xf>
    <xf numFmtId="1" fontId="0" fillId="0" borderId="1" xfId="0" quotePrefix="1" applyNumberFormat="1" applyBorder="1" applyAlignment="1">
      <alignment horizontal="left" vertical="top"/>
    </xf>
    <xf numFmtId="0" fontId="0" fillId="13" borderId="1" xfId="0" applyFill="1" applyBorder="1"/>
    <xf numFmtId="49" fontId="0" fillId="13" borderId="1" xfId="0" quotePrefix="1" applyNumberFormat="1" applyFill="1" applyBorder="1" applyAlignment="1">
      <alignment horizontal="left"/>
    </xf>
    <xf numFmtId="0" fontId="0" fillId="13" borderId="0" xfId="0" applyFill="1"/>
    <xf numFmtId="0" fontId="0" fillId="14" borderId="1" xfId="0" applyFill="1" applyBorder="1"/>
    <xf numFmtId="49" fontId="0" fillId="14" borderId="1" xfId="0" quotePrefix="1" applyNumberFormat="1" applyFill="1" applyBorder="1" applyAlignment="1">
      <alignment horizontal="left"/>
    </xf>
    <xf numFmtId="0" fontId="0" fillId="14" borderId="0" xfId="0" applyFill="1"/>
    <xf numFmtId="0" fontId="0" fillId="3" borderId="1" xfId="0" applyFill="1" applyBorder="1" applyAlignment="1">
      <alignment horizontal="center" wrapText="1"/>
    </xf>
    <xf numFmtId="0" fontId="0" fillId="3" borderId="1" xfId="0" applyFill="1" applyBorder="1"/>
    <xf numFmtId="0" fontId="0" fillId="9" borderId="1" xfId="0" applyFill="1" applyBorder="1" applyAlignment="1">
      <alignment horizontal="left" vertical="top"/>
    </xf>
    <xf numFmtId="0" fontId="9" fillId="9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1" xfId="0" applyFont="1" applyBorder="1"/>
    <xf numFmtId="1" fontId="0" fillId="0" borderId="0" xfId="0" applyNumberFormat="1" applyAlignment="1">
      <alignment horizontal="left"/>
    </xf>
    <xf numFmtId="49" fontId="0" fillId="9" borderId="1" xfId="0" quotePrefix="1" applyNumberFormat="1" applyFill="1" applyBorder="1" applyAlignment="1">
      <alignment horizontal="left"/>
    </xf>
    <xf numFmtId="0" fontId="0" fillId="15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/>
    <xf numFmtId="0" fontId="3" fillId="3" borderId="1" xfId="0" applyFont="1" applyFill="1" applyBorder="1"/>
    <xf numFmtId="0" fontId="3" fillId="3" borderId="3" xfId="0" quotePrefix="1" applyFont="1" applyFill="1" applyBorder="1"/>
    <xf numFmtId="0" fontId="3" fillId="3" borderId="1" xfId="0" quotePrefix="1" applyFont="1" applyFill="1" applyBorder="1"/>
    <xf numFmtId="1" fontId="3" fillId="3" borderId="1" xfId="0" quotePrefix="1" applyNumberFormat="1" applyFont="1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9" borderId="1" xfId="0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10" fillId="4" borderId="1" xfId="0" applyFont="1" applyFill="1" applyBorder="1"/>
    <xf numFmtId="0" fontId="10" fillId="4" borderId="0" xfId="0" applyFont="1" applyFill="1"/>
    <xf numFmtId="0" fontId="10" fillId="4" borderId="0" xfId="0" applyFont="1" applyFill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1" fontId="10" fillId="4" borderId="1" xfId="0" quotePrefix="1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workbookViewId="0">
      <pane ySplit="1" topLeftCell="A62" activePane="bottomLeft" state="frozen"/>
      <selection pane="bottomLeft" activeCell="E115" sqref="A67:E115"/>
    </sheetView>
  </sheetViews>
  <sheetFormatPr defaultRowHeight="14.5" x14ac:dyDescent="0.35"/>
  <cols>
    <col min="1" max="1" width="3" bestFit="1" customWidth="1"/>
    <col min="2" max="2" width="71.08984375" bestFit="1" customWidth="1"/>
    <col min="3" max="3" width="5" bestFit="1" customWidth="1"/>
    <col min="4" max="4" width="18.54296875" bestFit="1" customWidth="1"/>
    <col min="5" max="5" width="21.453125" bestFit="1" customWidth="1"/>
    <col min="6" max="6" width="32.81640625" bestFit="1" customWidth="1"/>
    <col min="7" max="7" width="17.7265625" bestFit="1" customWidth="1"/>
    <col min="8" max="8" width="59.1796875" bestFit="1" customWidth="1"/>
    <col min="9" max="9" width="15.54296875" bestFit="1" customWidth="1"/>
    <col min="10" max="10" width="56.26953125" bestFit="1" customWidth="1"/>
  </cols>
  <sheetData>
    <row r="1" spans="1:6" x14ac:dyDescent="0.35">
      <c r="A1" t="s">
        <v>187</v>
      </c>
      <c r="B1" t="s">
        <v>188</v>
      </c>
      <c r="C1" t="s">
        <v>189</v>
      </c>
      <c r="D1" t="s">
        <v>190</v>
      </c>
    </row>
    <row r="2" spans="1:6" x14ac:dyDescent="0.35">
      <c r="A2">
        <v>1</v>
      </c>
      <c r="B2" t="s">
        <v>191</v>
      </c>
      <c r="C2">
        <v>2</v>
      </c>
      <c r="D2">
        <v>1</v>
      </c>
    </row>
    <row r="3" spans="1:6" x14ac:dyDescent="0.35">
      <c r="A3" s="48">
        <v>2</v>
      </c>
      <c r="B3" s="48" t="s">
        <v>547</v>
      </c>
      <c r="C3" s="48">
        <v>2</v>
      </c>
      <c r="D3" s="48">
        <v>1</v>
      </c>
      <c r="F3" t="s">
        <v>548</v>
      </c>
    </row>
    <row r="4" spans="1:6" x14ac:dyDescent="0.35">
      <c r="A4">
        <v>3</v>
      </c>
      <c r="B4" t="s">
        <v>192</v>
      </c>
      <c r="C4">
        <v>2</v>
      </c>
      <c r="D4">
        <v>1</v>
      </c>
    </row>
    <row r="5" spans="1:6" s="7" customFormat="1" x14ac:dyDescent="0.35">
      <c r="A5" s="7">
        <v>4</v>
      </c>
      <c r="B5" s="7" t="s">
        <v>193</v>
      </c>
      <c r="C5" s="7">
        <v>2</v>
      </c>
      <c r="D5" s="7">
        <v>1</v>
      </c>
      <c r="E5" s="7" t="s">
        <v>395</v>
      </c>
    </row>
    <row r="6" spans="1:6" x14ac:dyDescent="0.35">
      <c r="A6">
        <v>5</v>
      </c>
      <c r="B6" t="s">
        <v>194</v>
      </c>
      <c r="C6">
        <v>2</v>
      </c>
      <c r="D6">
        <v>1</v>
      </c>
    </row>
    <row r="7" spans="1:6" s="7" customFormat="1" x14ac:dyDescent="0.35">
      <c r="A7" s="7">
        <v>6</v>
      </c>
      <c r="B7" s="7" t="s">
        <v>195</v>
      </c>
      <c r="C7" s="7">
        <v>2</v>
      </c>
      <c r="D7" s="7">
        <v>1</v>
      </c>
      <c r="E7" s="7" t="s">
        <v>395</v>
      </c>
    </row>
    <row r="8" spans="1:6" s="7" customFormat="1" x14ac:dyDescent="0.35">
      <c r="A8" s="7">
        <v>29</v>
      </c>
      <c r="B8" s="7" t="s">
        <v>196</v>
      </c>
      <c r="C8" s="7">
        <v>2</v>
      </c>
      <c r="D8" s="7">
        <v>1</v>
      </c>
      <c r="E8" s="7" t="s">
        <v>395</v>
      </c>
    </row>
    <row r="9" spans="1:6" s="7" customFormat="1" x14ac:dyDescent="0.35">
      <c r="A9" s="7">
        <v>37</v>
      </c>
      <c r="B9" s="7" t="s">
        <v>197</v>
      </c>
      <c r="C9" s="7">
        <v>2</v>
      </c>
      <c r="D9" s="7">
        <v>1</v>
      </c>
      <c r="E9" s="7" t="s">
        <v>395</v>
      </c>
    </row>
    <row r="10" spans="1:6" s="7" customFormat="1" x14ac:dyDescent="0.35">
      <c r="A10" s="7">
        <v>39</v>
      </c>
      <c r="B10" s="7" t="s">
        <v>198</v>
      </c>
      <c r="C10" s="7">
        <v>2</v>
      </c>
      <c r="D10" s="7">
        <v>1</v>
      </c>
      <c r="E10" s="7" t="s">
        <v>395</v>
      </c>
    </row>
    <row r="11" spans="1:6" s="7" customFormat="1" x14ac:dyDescent="0.35">
      <c r="A11" s="7">
        <v>40</v>
      </c>
      <c r="B11" s="7" t="s">
        <v>199</v>
      </c>
      <c r="C11" s="7">
        <v>2</v>
      </c>
      <c r="D11" s="7">
        <v>1</v>
      </c>
      <c r="E11" s="7" t="s">
        <v>395</v>
      </c>
    </row>
    <row r="12" spans="1:6" x14ac:dyDescent="0.35">
      <c r="A12">
        <v>16</v>
      </c>
      <c r="B12" t="s">
        <v>200</v>
      </c>
      <c r="C12">
        <v>2</v>
      </c>
      <c r="D12">
        <v>2</v>
      </c>
    </row>
    <row r="13" spans="1:6" x14ac:dyDescent="0.35">
      <c r="A13">
        <v>17</v>
      </c>
      <c r="B13" t="s">
        <v>201</v>
      </c>
      <c r="C13">
        <v>2</v>
      </c>
      <c r="D13">
        <v>2</v>
      </c>
    </row>
    <row r="14" spans="1:6" s="7" customFormat="1" x14ac:dyDescent="0.35">
      <c r="A14" s="7">
        <v>18</v>
      </c>
      <c r="B14" s="7" t="s">
        <v>202</v>
      </c>
      <c r="C14" s="7">
        <v>2</v>
      </c>
      <c r="D14" s="7">
        <v>2</v>
      </c>
      <c r="E14" s="7" t="s">
        <v>395</v>
      </c>
    </row>
    <row r="15" spans="1:6" s="7" customFormat="1" x14ac:dyDescent="0.35">
      <c r="A15" s="7">
        <v>19</v>
      </c>
      <c r="B15" s="7" t="s">
        <v>203</v>
      </c>
      <c r="C15" s="7">
        <v>2</v>
      </c>
      <c r="D15" s="7">
        <v>3</v>
      </c>
      <c r="E15" s="7" t="s">
        <v>395</v>
      </c>
    </row>
    <row r="16" spans="1:6" s="7" customFormat="1" x14ac:dyDescent="0.35">
      <c r="A16" s="7">
        <v>25</v>
      </c>
      <c r="B16" s="7" t="s">
        <v>204</v>
      </c>
      <c r="C16" s="7">
        <v>2</v>
      </c>
      <c r="D16" s="7">
        <v>3</v>
      </c>
      <c r="E16" s="7" t="s">
        <v>395</v>
      </c>
    </row>
    <row r="17" spans="1:5" x14ac:dyDescent="0.35">
      <c r="A17">
        <v>21</v>
      </c>
      <c r="B17" t="s">
        <v>205</v>
      </c>
      <c r="C17">
        <v>2</v>
      </c>
      <c r="D17">
        <v>4</v>
      </c>
    </row>
    <row r="18" spans="1:5" x14ac:dyDescent="0.35">
      <c r="A18">
        <v>20</v>
      </c>
      <c r="B18" t="s">
        <v>206</v>
      </c>
      <c r="C18">
        <v>2</v>
      </c>
      <c r="D18">
        <v>5</v>
      </c>
    </row>
    <row r="19" spans="1:5" x14ac:dyDescent="0.35">
      <c r="A19">
        <v>7</v>
      </c>
      <c r="B19" t="s">
        <v>207</v>
      </c>
      <c r="C19">
        <v>1</v>
      </c>
      <c r="D19">
        <v>6</v>
      </c>
    </row>
    <row r="20" spans="1:5" x14ac:dyDescent="0.35">
      <c r="A20">
        <v>8</v>
      </c>
      <c r="B20" t="s">
        <v>208</v>
      </c>
      <c r="C20">
        <v>1</v>
      </c>
      <c r="D20">
        <v>6</v>
      </c>
    </row>
    <row r="21" spans="1:5" x14ac:dyDescent="0.35">
      <c r="A21">
        <v>9</v>
      </c>
      <c r="B21" t="s">
        <v>209</v>
      </c>
      <c r="C21">
        <v>1</v>
      </c>
      <c r="D21">
        <v>6</v>
      </c>
    </row>
    <row r="22" spans="1:5" x14ac:dyDescent="0.35">
      <c r="A22">
        <v>10</v>
      </c>
      <c r="B22" t="s">
        <v>210</v>
      </c>
      <c r="C22">
        <v>1</v>
      </c>
      <c r="D22">
        <v>6</v>
      </c>
    </row>
    <row r="23" spans="1:5" x14ac:dyDescent="0.35">
      <c r="A23">
        <v>11</v>
      </c>
      <c r="B23" t="s">
        <v>211</v>
      </c>
      <c r="C23">
        <v>1</v>
      </c>
      <c r="D23">
        <v>6</v>
      </c>
    </row>
    <row r="24" spans="1:5" s="3" customFormat="1" x14ac:dyDescent="0.35">
      <c r="A24" s="3">
        <v>12</v>
      </c>
      <c r="B24" s="3" t="s">
        <v>212</v>
      </c>
      <c r="C24" s="3">
        <v>1</v>
      </c>
      <c r="D24" s="3">
        <v>6</v>
      </c>
      <c r="E24" s="3" t="s">
        <v>213</v>
      </c>
    </row>
    <row r="25" spans="1:5" x14ac:dyDescent="0.35">
      <c r="A25">
        <v>13</v>
      </c>
      <c r="B25" t="s">
        <v>214</v>
      </c>
      <c r="C25">
        <v>1</v>
      </c>
      <c r="D25">
        <v>6</v>
      </c>
    </row>
    <row r="26" spans="1:5" x14ac:dyDescent="0.35">
      <c r="A26">
        <v>14</v>
      </c>
      <c r="B26" t="s">
        <v>215</v>
      </c>
      <c r="C26">
        <v>1</v>
      </c>
      <c r="D26">
        <v>6</v>
      </c>
    </row>
    <row r="27" spans="1:5" x14ac:dyDescent="0.35">
      <c r="A27">
        <v>15</v>
      </c>
      <c r="B27" t="s">
        <v>216</v>
      </c>
      <c r="C27">
        <v>1</v>
      </c>
      <c r="D27">
        <v>6</v>
      </c>
    </row>
    <row r="28" spans="1:5" x14ac:dyDescent="0.35">
      <c r="A28" s="7">
        <v>31</v>
      </c>
      <c r="B28" s="7" t="s">
        <v>217</v>
      </c>
      <c r="C28" s="7">
        <v>2</v>
      </c>
      <c r="D28" s="7">
        <v>6</v>
      </c>
      <c r="E28" s="7" t="s">
        <v>395</v>
      </c>
    </row>
    <row r="29" spans="1:5" x14ac:dyDescent="0.35">
      <c r="A29" s="6">
        <v>38</v>
      </c>
      <c r="B29" s="6" t="s">
        <v>218</v>
      </c>
      <c r="C29" s="6">
        <v>3</v>
      </c>
      <c r="D29" s="6">
        <v>6</v>
      </c>
      <c r="E29" t="s">
        <v>219</v>
      </c>
    </row>
    <row r="30" spans="1:5" x14ac:dyDescent="0.35">
      <c r="A30">
        <v>22</v>
      </c>
      <c r="B30" t="s">
        <v>220</v>
      </c>
      <c r="C30">
        <v>2</v>
      </c>
      <c r="D30">
        <v>7</v>
      </c>
    </row>
    <row r="31" spans="1:5" x14ac:dyDescent="0.35">
      <c r="A31">
        <v>23</v>
      </c>
      <c r="B31" t="s">
        <v>221</v>
      </c>
      <c r="C31">
        <v>2</v>
      </c>
      <c r="D31">
        <v>7</v>
      </c>
    </row>
    <row r="32" spans="1:5" x14ac:dyDescent="0.35">
      <c r="A32">
        <v>24</v>
      </c>
      <c r="B32" t="s">
        <v>222</v>
      </c>
      <c r="C32">
        <v>3</v>
      </c>
      <c r="D32">
        <v>7</v>
      </c>
    </row>
    <row r="33" spans="1:5" x14ac:dyDescent="0.35">
      <c r="A33">
        <v>26</v>
      </c>
      <c r="B33" t="s">
        <v>223</v>
      </c>
      <c r="C33">
        <v>2</v>
      </c>
      <c r="D33">
        <v>7</v>
      </c>
    </row>
    <row r="34" spans="1:5" x14ac:dyDescent="0.35">
      <c r="A34">
        <v>27</v>
      </c>
      <c r="B34" t="s">
        <v>224</v>
      </c>
      <c r="C34">
        <v>2</v>
      </c>
      <c r="D34">
        <v>7</v>
      </c>
    </row>
    <row r="35" spans="1:5" x14ac:dyDescent="0.35">
      <c r="A35">
        <v>28</v>
      </c>
      <c r="B35" t="s">
        <v>225</v>
      </c>
      <c r="C35">
        <v>2</v>
      </c>
      <c r="D35">
        <v>7</v>
      </c>
    </row>
    <row r="36" spans="1:5" s="8" customFormat="1" x14ac:dyDescent="0.35">
      <c r="A36" s="8">
        <v>30</v>
      </c>
      <c r="B36" s="8" t="s">
        <v>226</v>
      </c>
      <c r="C36" s="8">
        <v>3</v>
      </c>
      <c r="D36" s="8">
        <v>7</v>
      </c>
      <c r="E36" s="8" t="s">
        <v>227</v>
      </c>
    </row>
    <row r="37" spans="1:5" x14ac:dyDescent="0.35">
      <c r="A37">
        <v>32</v>
      </c>
      <c r="B37" t="s">
        <v>228</v>
      </c>
      <c r="C37">
        <v>3</v>
      </c>
      <c r="D37">
        <v>7</v>
      </c>
    </row>
    <row r="38" spans="1:5" x14ac:dyDescent="0.35">
      <c r="A38">
        <v>33</v>
      </c>
      <c r="B38" t="s">
        <v>229</v>
      </c>
      <c r="C38">
        <v>3</v>
      </c>
      <c r="D38">
        <v>7</v>
      </c>
    </row>
    <row r="39" spans="1:5" x14ac:dyDescent="0.35">
      <c r="A39">
        <v>34</v>
      </c>
      <c r="B39" t="s">
        <v>230</v>
      </c>
      <c r="C39">
        <v>3</v>
      </c>
      <c r="D39">
        <v>7</v>
      </c>
    </row>
    <row r="40" spans="1:5" x14ac:dyDescent="0.35">
      <c r="A40">
        <v>35</v>
      </c>
      <c r="B40" t="s">
        <v>231</v>
      </c>
      <c r="C40">
        <v>3</v>
      </c>
      <c r="D40">
        <v>7</v>
      </c>
    </row>
    <row r="41" spans="1:5" s="3" customFormat="1" x14ac:dyDescent="0.35">
      <c r="A41" s="3">
        <v>36</v>
      </c>
      <c r="B41" s="3" t="s">
        <v>232</v>
      </c>
      <c r="C41" s="3">
        <v>3</v>
      </c>
      <c r="D41" s="3">
        <v>7</v>
      </c>
      <c r="E41" s="3" t="s">
        <v>233</v>
      </c>
    </row>
    <row r="42" spans="1:5" x14ac:dyDescent="0.35">
      <c r="A42">
        <v>41</v>
      </c>
      <c r="B42" t="s">
        <v>234</v>
      </c>
      <c r="C42">
        <v>3</v>
      </c>
      <c r="D42">
        <v>7</v>
      </c>
    </row>
    <row r="43" spans="1:5" x14ac:dyDescent="0.35">
      <c r="A43">
        <v>42</v>
      </c>
      <c r="B43" t="s">
        <v>235</v>
      </c>
      <c r="C43">
        <v>3</v>
      </c>
      <c r="D43">
        <v>7</v>
      </c>
    </row>
    <row r="44" spans="1:5" x14ac:dyDescent="0.35">
      <c r="A44">
        <v>43</v>
      </c>
      <c r="B44" t="s">
        <v>236</v>
      </c>
      <c r="C44">
        <v>3</v>
      </c>
      <c r="D44">
        <v>7</v>
      </c>
    </row>
    <row r="45" spans="1:5" x14ac:dyDescent="0.35">
      <c r="A45">
        <v>44</v>
      </c>
      <c r="B45" t="s">
        <v>237</v>
      </c>
      <c r="C45">
        <v>3</v>
      </c>
      <c r="D45">
        <v>7</v>
      </c>
    </row>
    <row r="46" spans="1:5" x14ac:dyDescent="0.35">
      <c r="A46">
        <v>45</v>
      </c>
      <c r="B46" t="s">
        <v>238</v>
      </c>
      <c r="C46">
        <v>2</v>
      </c>
      <c r="D46">
        <v>7</v>
      </c>
    </row>
    <row r="47" spans="1:5" x14ac:dyDescent="0.35">
      <c r="A47">
        <v>0</v>
      </c>
      <c r="B47" s="14" t="s">
        <v>391</v>
      </c>
      <c r="C47">
        <v>1</v>
      </c>
      <c r="D47">
        <v>7</v>
      </c>
      <c r="E47" t="s">
        <v>337</v>
      </c>
    </row>
    <row r="48" spans="1:5" x14ac:dyDescent="0.35">
      <c r="A48">
        <v>0</v>
      </c>
      <c r="B48" s="14" t="s">
        <v>392</v>
      </c>
      <c r="C48">
        <v>1</v>
      </c>
      <c r="D48">
        <v>7</v>
      </c>
      <c r="E48" t="s">
        <v>337</v>
      </c>
    </row>
    <row r="49" spans="1:5" x14ac:dyDescent="0.35">
      <c r="A49">
        <v>0</v>
      </c>
      <c r="B49" s="14" t="s">
        <v>393</v>
      </c>
      <c r="C49">
        <v>1</v>
      </c>
      <c r="D49">
        <v>7</v>
      </c>
      <c r="E49" t="s">
        <v>337</v>
      </c>
    </row>
    <row r="50" spans="1:5" x14ac:dyDescent="0.35">
      <c r="A50">
        <v>0</v>
      </c>
      <c r="B50" s="14" t="s">
        <v>239</v>
      </c>
      <c r="C50">
        <v>1</v>
      </c>
      <c r="D50">
        <v>6</v>
      </c>
      <c r="E50" t="s">
        <v>337</v>
      </c>
    </row>
    <row r="51" spans="1:5" x14ac:dyDescent="0.35">
      <c r="A51">
        <v>0</v>
      </c>
      <c r="B51" s="14" t="s">
        <v>240</v>
      </c>
      <c r="C51">
        <v>1</v>
      </c>
      <c r="D51">
        <v>6</v>
      </c>
      <c r="E51" t="s">
        <v>337</v>
      </c>
    </row>
    <row r="52" spans="1:5" x14ac:dyDescent="0.35">
      <c r="A52">
        <v>0</v>
      </c>
      <c r="B52" s="14" t="s">
        <v>241</v>
      </c>
      <c r="C52">
        <v>1</v>
      </c>
      <c r="D52">
        <v>6</v>
      </c>
      <c r="E52" t="s">
        <v>337</v>
      </c>
    </row>
    <row r="53" spans="1:5" x14ac:dyDescent="0.35">
      <c r="A53">
        <v>0</v>
      </c>
      <c r="B53" s="14" t="s">
        <v>450</v>
      </c>
      <c r="C53">
        <v>2</v>
      </c>
      <c r="D53" t="s">
        <v>467</v>
      </c>
      <c r="E53" t="s">
        <v>337</v>
      </c>
    </row>
    <row r="54" spans="1:5" x14ac:dyDescent="0.35">
      <c r="A54">
        <v>0</v>
      </c>
      <c r="B54" s="14" t="s">
        <v>451</v>
      </c>
      <c r="C54">
        <v>2</v>
      </c>
      <c r="D54" t="s">
        <v>467</v>
      </c>
      <c r="E54" t="s">
        <v>337</v>
      </c>
    </row>
    <row r="55" spans="1:5" x14ac:dyDescent="0.35">
      <c r="A55">
        <v>0</v>
      </c>
      <c r="B55" s="14" t="s">
        <v>452</v>
      </c>
      <c r="C55">
        <v>2</v>
      </c>
      <c r="D55" t="s">
        <v>467</v>
      </c>
      <c r="E55" t="s">
        <v>337</v>
      </c>
    </row>
    <row r="56" spans="1:5" x14ac:dyDescent="0.35">
      <c r="A56">
        <v>0</v>
      </c>
      <c r="B56" s="14" t="s">
        <v>453</v>
      </c>
      <c r="C56">
        <v>2</v>
      </c>
      <c r="D56" t="s">
        <v>467</v>
      </c>
      <c r="E56" t="s">
        <v>337</v>
      </c>
    </row>
    <row r="57" spans="1:5" x14ac:dyDescent="0.35">
      <c r="A57">
        <v>0</v>
      </c>
      <c r="B57" s="14" t="s">
        <v>454</v>
      </c>
      <c r="C57">
        <v>2</v>
      </c>
      <c r="D57" t="s">
        <v>467</v>
      </c>
      <c r="E57" t="s">
        <v>337</v>
      </c>
    </row>
    <row r="58" spans="1:5" x14ac:dyDescent="0.35">
      <c r="A58">
        <v>0</v>
      </c>
      <c r="B58" s="14" t="s">
        <v>455</v>
      </c>
      <c r="C58">
        <v>2</v>
      </c>
      <c r="D58" t="s">
        <v>467</v>
      </c>
      <c r="E58" t="s">
        <v>337</v>
      </c>
    </row>
    <row r="59" spans="1:5" x14ac:dyDescent="0.35">
      <c r="A59">
        <v>0</v>
      </c>
      <c r="B59" s="14" t="s">
        <v>456</v>
      </c>
      <c r="C59">
        <v>2</v>
      </c>
      <c r="D59" t="s">
        <v>467</v>
      </c>
      <c r="E59" t="s">
        <v>337</v>
      </c>
    </row>
    <row r="60" spans="1:5" x14ac:dyDescent="0.35">
      <c r="A60">
        <v>0</v>
      </c>
      <c r="B60" s="14" t="s">
        <v>457</v>
      </c>
      <c r="C60">
        <v>2</v>
      </c>
      <c r="D60" t="s">
        <v>467</v>
      </c>
      <c r="E60" t="s">
        <v>337</v>
      </c>
    </row>
    <row r="61" spans="1:5" x14ac:dyDescent="0.35">
      <c r="A61">
        <v>0</v>
      </c>
      <c r="B61" s="14" t="s">
        <v>458</v>
      </c>
      <c r="C61">
        <v>2</v>
      </c>
      <c r="D61" t="s">
        <v>467</v>
      </c>
      <c r="E61" t="s">
        <v>337</v>
      </c>
    </row>
    <row r="62" spans="1:5" x14ac:dyDescent="0.35">
      <c r="A62">
        <v>0</v>
      </c>
      <c r="B62" s="14" t="s">
        <v>459</v>
      </c>
      <c r="C62">
        <v>2</v>
      </c>
      <c r="E62" t="s">
        <v>337</v>
      </c>
    </row>
    <row r="63" spans="1:5" x14ac:dyDescent="0.35">
      <c r="A63">
        <v>0</v>
      </c>
      <c r="B63" s="14" t="s">
        <v>460</v>
      </c>
      <c r="C63">
        <v>2</v>
      </c>
      <c r="D63" t="s">
        <v>206</v>
      </c>
      <c r="E63" t="s">
        <v>337</v>
      </c>
    </row>
    <row r="64" spans="1:5" x14ac:dyDescent="0.35">
      <c r="A64" s="47">
        <v>0</v>
      </c>
      <c r="B64" s="47" t="s">
        <v>589</v>
      </c>
      <c r="C64" s="47">
        <v>2</v>
      </c>
      <c r="D64" s="47" t="s">
        <v>206</v>
      </c>
      <c r="E64" s="47" t="s">
        <v>337</v>
      </c>
    </row>
    <row r="65" spans="1:5" x14ac:dyDescent="0.35">
      <c r="A65" s="47">
        <v>0</v>
      </c>
      <c r="B65" s="47" t="s">
        <v>521</v>
      </c>
      <c r="C65" s="47">
        <v>1</v>
      </c>
      <c r="D65" s="47">
        <v>6</v>
      </c>
      <c r="E65" s="47" t="s">
        <v>337</v>
      </c>
    </row>
    <row r="66" spans="1:5" x14ac:dyDescent="0.35">
      <c r="A66" s="47">
        <v>0</v>
      </c>
      <c r="B66" s="47" t="s">
        <v>522</v>
      </c>
      <c r="C66" s="47">
        <v>2</v>
      </c>
      <c r="D66" s="47" t="s">
        <v>467</v>
      </c>
      <c r="E66" s="47" t="s">
        <v>337</v>
      </c>
    </row>
    <row r="67" spans="1:5" x14ac:dyDescent="0.35">
      <c r="A67" s="157">
        <v>0</v>
      </c>
      <c r="B67" s="158" t="s">
        <v>592</v>
      </c>
      <c r="C67" s="157">
        <v>2</v>
      </c>
      <c r="D67" s="157" t="s">
        <v>206</v>
      </c>
      <c r="E67" s="157" t="s">
        <v>337</v>
      </c>
    </row>
    <row r="68" spans="1:5" x14ac:dyDescent="0.35">
      <c r="A68" s="157">
        <v>0</v>
      </c>
      <c r="B68" s="158" t="s">
        <v>593</v>
      </c>
      <c r="C68" s="157">
        <v>2</v>
      </c>
      <c r="D68" s="157" t="s">
        <v>206</v>
      </c>
      <c r="E68" s="157" t="s">
        <v>337</v>
      </c>
    </row>
    <row r="69" spans="1:5" x14ac:dyDescent="0.35">
      <c r="A69" s="157">
        <v>0</v>
      </c>
      <c r="B69" s="158" t="s">
        <v>594</v>
      </c>
      <c r="C69" s="157">
        <v>2</v>
      </c>
      <c r="D69" s="157" t="s">
        <v>206</v>
      </c>
      <c r="E69" s="157" t="s">
        <v>337</v>
      </c>
    </row>
    <row r="70" spans="1:5" x14ac:dyDescent="0.35">
      <c r="A70" s="157">
        <v>0</v>
      </c>
      <c r="B70" s="158" t="s">
        <v>595</v>
      </c>
      <c r="C70" s="157">
        <v>2</v>
      </c>
      <c r="D70" s="157" t="s">
        <v>206</v>
      </c>
      <c r="E70" s="157" t="s">
        <v>337</v>
      </c>
    </row>
    <row r="71" spans="1:5" x14ac:dyDescent="0.35">
      <c r="A71" s="157">
        <v>0</v>
      </c>
      <c r="B71" s="158" t="s">
        <v>596</v>
      </c>
      <c r="C71" s="157">
        <v>2</v>
      </c>
      <c r="D71" s="157" t="s">
        <v>206</v>
      </c>
      <c r="E71" s="157" t="s">
        <v>337</v>
      </c>
    </row>
    <row r="72" spans="1:5" x14ac:dyDescent="0.35">
      <c r="A72" s="157">
        <v>0</v>
      </c>
      <c r="B72" s="158" t="s">
        <v>597</v>
      </c>
      <c r="C72" s="157">
        <v>2</v>
      </c>
      <c r="D72" s="157" t="s">
        <v>206</v>
      </c>
      <c r="E72" s="157" t="s">
        <v>337</v>
      </c>
    </row>
    <row r="73" spans="1:5" x14ac:dyDescent="0.35">
      <c r="A73" s="157">
        <v>0</v>
      </c>
      <c r="B73" s="158" t="s">
        <v>598</v>
      </c>
      <c r="C73" s="157">
        <v>2</v>
      </c>
      <c r="D73" s="157" t="s">
        <v>206</v>
      </c>
      <c r="E73" s="157" t="s">
        <v>337</v>
      </c>
    </row>
    <row r="74" spans="1:5" x14ac:dyDescent="0.35">
      <c r="A74" s="157">
        <v>0</v>
      </c>
      <c r="B74" s="158" t="s">
        <v>599</v>
      </c>
      <c r="C74" s="157">
        <v>2</v>
      </c>
      <c r="D74" s="157" t="s">
        <v>206</v>
      </c>
      <c r="E74" s="157" t="s">
        <v>337</v>
      </c>
    </row>
    <row r="75" spans="1:5" x14ac:dyDescent="0.35">
      <c r="A75" s="157">
        <v>0</v>
      </c>
      <c r="B75" s="158" t="s">
        <v>600</v>
      </c>
      <c r="C75" s="157">
        <v>2</v>
      </c>
      <c r="D75" s="157" t="s">
        <v>206</v>
      </c>
      <c r="E75" s="157" t="s">
        <v>337</v>
      </c>
    </row>
    <row r="76" spans="1:5" x14ac:dyDescent="0.35">
      <c r="A76" s="157">
        <v>0</v>
      </c>
      <c r="B76" s="158" t="s">
        <v>601</v>
      </c>
      <c r="C76" s="157">
        <v>2</v>
      </c>
      <c r="D76" s="157" t="s">
        <v>206</v>
      </c>
      <c r="E76" s="157" t="s">
        <v>337</v>
      </c>
    </row>
    <row r="77" spans="1:5" x14ac:dyDescent="0.35">
      <c r="A77" s="157">
        <v>0</v>
      </c>
      <c r="B77" s="158" t="s">
        <v>602</v>
      </c>
      <c r="C77" s="157">
        <v>2</v>
      </c>
      <c r="D77" s="157" t="s">
        <v>206</v>
      </c>
      <c r="E77" s="157" t="s">
        <v>337</v>
      </c>
    </row>
    <row r="78" spans="1:5" x14ac:dyDescent="0.35">
      <c r="A78" s="157">
        <v>0</v>
      </c>
      <c r="B78" s="158" t="s">
        <v>603</v>
      </c>
      <c r="C78" s="157">
        <v>2</v>
      </c>
      <c r="D78" s="157" t="s">
        <v>206</v>
      </c>
      <c r="E78" s="157" t="s">
        <v>337</v>
      </c>
    </row>
    <row r="79" spans="1:5" x14ac:dyDescent="0.35">
      <c r="A79" s="157">
        <v>0</v>
      </c>
      <c r="B79" s="158" t="s">
        <v>604</v>
      </c>
      <c r="C79" s="157">
        <v>2</v>
      </c>
      <c r="D79" s="157" t="s">
        <v>206</v>
      </c>
      <c r="E79" s="157" t="s">
        <v>337</v>
      </c>
    </row>
    <row r="80" spans="1:5" x14ac:dyDescent="0.35">
      <c r="A80" s="157">
        <v>0</v>
      </c>
      <c r="B80" s="158" t="s">
        <v>605</v>
      </c>
      <c r="C80" s="157">
        <v>2</v>
      </c>
      <c r="D80" s="157" t="s">
        <v>206</v>
      </c>
      <c r="E80" s="157" t="s">
        <v>337</v>
      </c>
    </row>
    <row r="81" spans="1:5" x14ac:dyDescent="0.35">
      <c r="A81" s="157">
        <v>0</v>
      </c>
      <c r="B81" s="158" t="s">
        <v>606</v>
      </c>
      <c r="C81" s="157">
        <v>2</v>
      </c>
      <c r="D81" s="157" t="s">
        <v>206</v>
      </c>
      <c r="E81" s="157" t="s">
        <v>337</v>
      </c>
    </row>
    <row r="82" spans="1:5" x14ac:dyDescent="0.35">
      <c r="A82" s="157">
        <v>0</v>
      </c>
      <c r="B82" s="158" t="s">
        <v>607</v>
      </c>
      <c r="C82" s="157">
        <v>2</v>
      </c>
      <c r="D82" s="157" t="s">
        <v>206</v>
      </c>
      <c r="E82" s="157" t="s">
        <v>337</v>
      </c>
    </row>
    <row r="83" spans="1:5" x14ac:dyDescent="0.35">
      <c r="A83" s="157">
        <v>0</v>
      </c>
      <c r="B83" s="158" t="s">
        <v>608</v>
      </c>
      <c r="C83" s="157">
        <v>2</v>
      </c>
      <c r="D83" s="157" t="s">
        <v>206</v>
      </c>
      <c r="E83" s="157" t="s">
        <v>337</v>
      </c>
    </row>
    <row r="84" spans="1:5" x14ac:dyDescent="0.35">
      <c r="A84" s="157">
        <v>0</v>
      </c>
      <c r="B84" s="158" t="s">
        <v>609</v>
      </c>
      <c r="C84" s="157">
        <v>2</v>
      </c>
      <c r="D84" s="157" t="s">
        <v>206</v>
      </c>
      <c r="E84" s="157" t="s">
        <v>337</v>
      </c>
    </row>
    <row r="85" spans="1:5" x14ac:dyDescent="0.35">
      <c r="A85" s="157">
        <v>0</v>
      </c>
      <c r="B85" s="158" t="s">
        <v>610</v>
      </c>
      <c r="C85" s="157">
        <v>2</v>
      </c>
      <c r="D85" s="157" t="s">
        <v>206</v>
      </c>
      <c r="E85" s="157" t="s">
        <v>337</v>
      </c>
    </row>
    <row r="86" spans="1:5" x14ac:dyDescent="0.35">
      <c r="A86" s="157">
        <v>0</v>
      </c>
      <c r="B86" s="158" t="s">
        <v>611</v>
      </c>
      <c r="C86" s="157">
        <v>2</v>
      </c>
      <c r="D86" s="157" t="s">
        <v>206</v>
      </c>
      <c r="E86" s="157" t="s">
        <v>337</v>
      </c>
    </row>
    <row r="87" spans="1:5" x14ac:dyDescent="0.35">
      <c r="A87" s="157">
        <v>0</v>
      </c>
      <c r="B87" s="158" t="s">
        <v>612</v>
      </c>
      <c r="C87" s="157">
        <v>2</v>
      </c>
      <c r="D87" s="157" t="s">
        <v>206</v>
      </c>
      <c r="E87" s="157" t="s">
        <v>337</v>
      </c>
    </row>
    <row r="88" spans="1:5" x14ac:dyDescent="0.35">
      <c r="A88" s="157">
        <v>0</v>
      </c>
      <c r="B88" s="158" t="s">
        <v>613</v>
      </c>
      <c r="C88" s="157">
        <v>2</v>
      </c>
      <c r="D88" s="157" t="s">
        <v>206</v>
      </c>
      <c r="E88" s="157" t="s">
        <v>337</v>
      </c>
    </row>
    <row r="89" spans="1:5" x14ac:dyDescent="0.35">
      <c r="A89" s="157">
        <v>0</v>
      </c>
      <c r="B89" s="158" t="s">
        <v>614</v>
      </c>
      <c r="C89" s="157">
        <v>2</v>
      </c>
      <c r="D89" s="157" t="s">
        <v>206</v>
      </c>
      <c r="E89" s="157" t="s">
        <v>337</v>
      </c>
    </row>
    <row r="90" spans="1:5" x14ac:dyDescent="0.35">
      <c r="A90" s="157">
        <v>0</v>
      </c>
      <c r="B90" s="158" t="s">
        <v>615</v>
      </c>
      <c r="C90" s="157">
        <v>2</v>
      </c>
      <c r="D90" s="157" t="s">
        <v>206</v>
      </c>
      <c r="E90" s="157" t="s">
        <v>337</v>
      </c>
    </row>
    <row r="91" spans="1:5" x14ac:dyDescent="0.35">
      <c r="A91" s="157">
        <v>0</v>
      </c>
      <c r="B91" s="158" t="s">
        <v>616</v>
      </c>
      <c r="C91" s="157">
        <v>2</v>
      </c>
      <c r="D91" s="157" t="s">
        <v>206</v>
      </c>
      <c r="E91" s="157" t="s">
        <v>337</v>
      </c>
    </row>
    <row r="92" spans="1:5" x14ac:dyDescent="0.35">
      <c r="A92" s="157">
        <v>0</v>
      </c>
      <c r="B92" s="158" t="s">
        <v>617</v>
      </c>
      <c r="C92" s="157">
        <v>2</v>
      </c>
      <c r="D92" s="157" t="s">
        <v>206</v>
      </c>
      <c r="E92" s="157" t="s">
        <v>337</v>
      </c>
    </row>
    <row r="93" spans="1:5" x14ac:dyDescent="0.35">
      <c r="A93" s="157">
        <v>0</v>
      </c>
      <c r="B93" s="158" t="s">
        <v>618</v>
      </c>
      <c r="C93" s="157">
        <v>2</v>
      </c>
      <c r="D93" s="157" t="s">
        <v>206</v>
      </c>
      <c r="E93" s="157" t="s">
        <v>337</v>
      </c>
    </row>
    <row r="94" spans="1:5" x14ac:dyDescent="0.35">
      <c r="A94" s="157">
        <v>0</v>
      </c>
      <c r="B94" s="158" t="s">
        <v>619</v>
      </c>
      <c r="C94" s="157">
        <v>2</v>
      </c>
      <c r="D94" s="157" t="s">
        <v>206</v>
      </c>
      <c r="E94" s="157" t="s">
        <v>337</v>
      </c>
    </row>
    <row r="95" spans="1:5" x14ac:dyDescent="0.35">
      <c r="A95" s="157">
        <v>0</v>
      </c>
      <c r="B95" s="158" t="s">
        <v>620</v>
      </c>
      <c r="C95" s="157">
        <v>2</v>
      </c>
      <c r="D95" s="157" t="s">
        <v>206</v>
      </c>
      <c r="E95" s="157" t="s">
        <v>337</v>
      </c>
    </row>
    <row r="96" spans="1:5" x14ac:dyDescent="0.35">
      <c r="A96" s="157">
        <v>0</v>
      </c>
      <c r="B96" s="158" t="s">
        <v>621</v>
      </c>
      <c r="C96" s="157">
        <v>2</v>
      </c>
      <c r="D96" s="157" t="s">
        <v>206</v>
      </c>
      <c r="E96" s="157" t="s">
        <v>337</v>
      </c>
    </row>
    <row r="97" spans="1:5" x14ac:dyDescent="0.35">
      <c r="A97" s="157">
        <v>0</v>
      </c>
      <c r="B97" s="158" t="s">
        <v>622</v>
      </c>
      <c r="C97" s="157">
        <v>2</v>
      </c>
      <c r="D97" s="157" t="s">
        <v>206</v>
      </c>
      <c r="E97" s="157" t="s">
        <v>337</v>
      </c>
    </row>
    <row r="98" spans="1:5" x14ac:dyDescent="0.35">
      <c r="A98" s="157">
        <v>0</v>
      </c>
      <c r="B98" s="158" t="s">
        <v>623</v>
      </c>
      <c r="C98" s="157">
        <v>2</v>
      </c>
      <c r="D98" s="157" t="s">
        <v>206</v>
      </c>
      <c r="E98" s="157" t="s">
        <v>337</v>
      </c>
    </row>
    <row r="99" spans="1:5" x14ac:dyDescent="0.35">
      <c r="A99" s="157">
        <v>0</v>
      </c>
      <c r="B99" s="158" t="s">
        <v>624</v>
      </c>
      <c r="C99" s="157">
        <v>2</v>
      </c>
      <c r="D99" s="157" t="s">
        <v>206</v>
      </c>
      <c r="E99" s="157" t="s">
        <v>337</v>
      </c>
    </row>
    <row r="100" spans="1:5" x14ac:dyDescent="0.35">
      <c r="A100" s="157">
        <v>0</v>
      </c>
      <c r="B100" s="158" t="s">
        <v>625</v>
      </c>
      <c r="C100" s="157">
        <v>2</v>
      </c>
      <c r="D100" s="157" t="s">
        <v>206</v>
      </c>
      <c r="E100" s="157" t="s">
        <v>337</v>
      </c>
    </row>
    <row r="101" spans="1:5" x14ac:dyDescent="0.35">
      <c r="A101" s="157">
        <v>0</v>
      </c>
      <c r="B101" s="158" t="s">
        <v>626</v>
      </c>
      <c r="C101" s="157">
        <v>2</v>
      </c>
      <c r="D101" s="157" t="s">
        <v>206</v>
      </c>
      <c r="E101" s="157" t="s">
        <v>337</v>
      </c>
    </row>
    <row r="102" spans="1:5" x14ac:dyDescent="0.35">
      <c r="A102" s="157">
        <v>0</v>
      </c>
      <c r="B102" s="158" t="s">
        <v>627</v>
      </c>
      <c r="C102" s="157">
        <v>2</v>
      </c>
      <c r="D102" s="157" t="s">
        <v>206</v>
      </c>
      <c r="E102" s="157" t="s">
        <v>337</v>
      </c>
    </row>
    <row r="103" spans="1:5" x14ac:dyDescent="0.35">
      <c r="A103" s="157">
        <v>0</v>
      </c>
      <c r="B103" s="158" t="s">
        <v>628</v>
      </c>
      <c r="C103" s="157">
        <v>2</v>
      </c>
      <c r="D103" s="157" t="s">
        <v>206</v>
      </c>
      <c r="E103" s="157" t="s">
        <v>337</v>
      </c>
    </row>
    <row r="104" spans="1:5" x14ac:dyDescent="0.35">
      <c r="A104" s="157">
        <v>0</v>
      </c>
      <c r="B104" s="157" t="s">
        <v>629</v>
      </c>
      <c r="C104" s="157">
        <v>2</v>
      </c>
      <c r="D104" s="157" t="s">
        <v>206</v>
      </c>
      <c r="E104" s="157" t="s">
        <v>337</v>
      </c>
    </row>
    <row r="105" spans="1:5" x14ac:dyDescent="0.35">
      <c r="A105" s="157">
        <v>0</v>
      </c>
      <c r="B105" s="157" t="s">
        <v>630</v>
      </c>
      <c r="C105" s="157">
        <v>2</v>
      </c>
      <c r="D105" s="157" t="s">
        <v>206</v>
      </c>
      <c r="E105" s="157" t="s">
        <v>337</v>
      </c>
    </row>
    <row r="106" spans="1:5" x14ac:dyDescent="0.35">
      <c r="A106" s="157">
        <v>0</v>
      </c>
      <c r="B106" s="157" t="s">
        <v>631</v>
      </c>
      <c r="C106" s="157">
        <v>2</v>
      </c>
      <c r="D106" s="157" t="s">
        <v>206</v>
      </c>
      <c r="E106" s="157" t="s">
        <v>337</v>
      </c>
    </row>
    <row r="107" spans="1:5" x14ac:dyDescent="0.35">
      <c r="A107" s="157">
        <v>0</v>
      </c>
      <c r="B107" s="157" t="s">
        <v>632</v>
      </c>
      <c r="C107" s="157">
        <v>2</v>
      </c>
      <c r="D107" s="157" t="s">
        <v>206</v>
      </c>
      <c r="E107" s="157" t="s">
        <v>337</v>
      </c>
    </row>
    <row r="108" spans="1:5" x14ac:dyDescent="0.35">
      <c r="A108" s="157">
        <v>0</v>
      </c>
      <c r="B108" s="157" t="s">
        <v>633</v>
      </c>
      <c r="C108" s="157">
        <v>2</v>
      </c>
      <c r="D108" s="157" t="s">
        <v>206</v>
      </c>
      <c r="E108" s="157" t="s">
        <v>337</v>
      </c>
    </row>
    <row r="109" spans="1:5" x14ac:dyDescent="0.35">
      <c r="A109" s="157">
        <v>0</v>
      </c>
      <c r="B109" s="157" t="s">
        <v>634</v>
      </c>
      <c r="C109" s="157">
        <v>2</v>
      </c>
      <c r="D109" s="157" t="s">
        <v>206</v>
      </c>
      <c r="E109" s="157" t="s">
        <v>337</v>
      </c>
    </row>
    <row r="110" spans="1:5" x14ac:dyDescent="0.35">
      <c r="A110" s="157">
        <v>0</v>
      </c>
      <c r="B110" s="157" t="s">
        <v>635</v>
      </c>
      <c r="C110" s="157">
        <v>2</v>
      </c>
      <c r="D110" s="157" t="s">
        <v>206</v>
      </c>
      <c r="E110" s="157" t="s">
        <v>337</v>
      </c>
    </row>
    <row r="111" spans="1:5" x14ac:dyDescent="0.35">
      <c r="A111" s="157">
        <v>0</v>
      </c>
      <c r="B111" s="157" t="s">
        <v>636</v>
      </c>
      <c r="C111" s="157">
        <v>2</v>
      </c>
      <c r="D111" s="157" t="s">
        <v>206</v>
      </c>
      <c r="E111" s="157" t="s">
        <v>337</v>
      </c>
    </row>
    <row r="112" spans="1:5" x14ac:dyDescent="0.35">
      <c r="A112" s="157">
        <v>0</v>
      </c>
      <c r="B112" s="157" t="s">
        <v>637</v>
      </c>
      <c r="C112" s="157">
        <v>2</v>
      </c>
      <c r="D112" s="157" t="s">
        <v>206</v>
      </c>
      <c r="E112" s="157" t="s">
        <v>337</v>
      </c>
    </row>
    <row r="113" spans="1:5" x14ac:dyDescent="0.35">
      <c r="A113" s="157">
        <v>0</v>
      </c>
      <c r="B113" s="157" t="s">
        <v>638</v>
      </c>
      <c r="C113" s="157">
        <v>2</v>
      </c>
      <c r="D113" s="157" t="s">
        <v>206</v>
      </c>
      <c r="E113" s="157" t="s">
        <v>337</v>
      </c>
    </row>
    <row r="114" spans="1:5" x14ac:dyDescent="0.35">
      <c r="A114" s="157">
        <v>0</v>
      </c>
      <c r="B114" s="157" t="s">
        <v>639</v>
      </c>
      <c r="C114" s="157">
        <v>2</v>
      </c>
      <c r="D114" s="157" t="s">
        <v>206</v>
      </c>
      <c r="E114" s="157" t="s">
        <v>337</v>
      </c>
    </row>
    <row r="115" spans="1:5" x14ac:dyDescent="0.35">
      <c r="A115" s="157">
        <v>0</v>
      </c>
      <c r="B115" s="157" t="s">
        <v>640</v>
      </c>
      <c r="C115" s="157">
        <v>2</v>
      </c>
      <c r="D115" s="157" t="s">
        <v>206</v>
      </c>
      <c r="E115" s="157" t="s">
        <v>337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R112"/>
  <sheetViews>
    <sheetView zoomScale="90" zoomScaleNormal="90" workbookViewId="0">
      <pane ySplit="1" topLeftCell="A79" activePane="bottomLeft" state="frozen"/>
      <selection pane="bottomLeft" activeCell="D111" sqref="D111"/>
    </sheetView>
  </sheetViews>
  <sheetFormatPr defaultRowHeight="14.5" x14ac:dyDescent="0.35"/>
  <cols>
    <col min="1" max="1" width="5" style="63" bestFit="1" customWidth="1"/>
    <col min="2" max="2" width="5.26953125" customWidth="1"/>
    <col min="3" max="3" width="13.08984375" bestFit="1" customWidth="1"/>
    <col min="4" max="4" width="48.453125" customWidth="1"/>
    <col min="5" max="5" width="9.81640625" bestFit="1" customWidth="1"/>
    <col min="6" max="6" width="16.08984375" bestFit="1" customWidth="1"/>
    <col min="7" max="7" width="23.1796875" bestFit="1" customWidth="1"/>
    <col min="8" max="8" width="20.1796875" style="10" customWidth="1"/>
    <col min="9" max="9" width="24.81640625" bestFit="1" customWidth="1"/>
    <col min="10" max="10" width="57.26953125" bestFit="1" customWidth="1"/>
    <col min="11" max="11" width="32.26953125" customWidth="1"/>
    <col min="12" max="12" width="59.81640625" bestFit="1" customWidth="1"/>
    <col min="13" max="13" width="13.36328125" customWidth="1"/>
    <col min="14" max="14" width="26.6328125" bestFit="1" customWidth="1"/>
    <col min="15" max="15" width="10.08984375" customWidth="1"/>
    <col min="16" max="16" width="33" bestFit="1" customWidth="1"/>
    <col min="17" max="17" width="28.90625" bestFit="1" customWidth="1"/>
    <col min="18" max="18" width="23.453125" customWidth="1"/>
  </cols>
  <sheetData>
    <row r="1" spans="1:18" x14ac:dyDescent="0.35">
      <c r="A1" s="63" t="s">
        <v>0</v>
      </c>
      <c r="B1" t="s">
        <v>1</v>
      </c>
      <c r="C1" t="s">
        <v>2</v>
      </c>
      <c r="D1" t="s">
        <v>3</v>
      </c>
      <c r="E1" t="s">
        <v>4</v>
      </c>
      <c r="F1" t="s">
        <v>345</v>
      </c>
      <c r="G1" t="s">
        <v>346</v>
      </c>
      <c r="H1" s="10" t="s">
        <v>566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35">
      <c r="A2" s="63">
        <v>1</v>
      </c>
      <c r="C2">
        <v>1</v>
      </c>
      <c r="D2" t="s">
        <v>15</v>
      </c>
      <c r="E2">
        <v>10</v>
      </c>
      <c r="F2" t="s">
        <v>16</v>
      </c>
      <c r="G2" t="s">
        <v>16</v>
      </c>
      <c r="H2" s="10" t="s">
        <v>567</v>
      </c>
      <c r="I2" s="64" t="s">
        <v>17</v>
      </c>
      <c r="J2" s="4" t="s">
        <v>18</v>
      </c>
      <c r="K2" s="1" t="s">
        <v>19</v>
      </c>
      <c r="L2" s="4" t="s">
        <v>20</v>
      </c>
      <c r="M2" s="2" t="s">
        <v>21</v>
      </c>
      <c r="N2" s="4" t="s">
        <v>22</v>
      </c>
      <c r="O2" s="2" t="s">
        <v>561</v>
      </c>
      <c r="P2" s="4" t="s">
        <v>563</v>
      </c>
      <c r="Q2" s="9" t="s">
        <v>24</v>
      </c>
      <c r="R2" s="4" t="s">
        <v>25</v>
      </c>
    </row>
    <row r="3" spans="1:18" x14ac:dyDescent="0.35">
      <c r="A3" s="63">
        <v>2</v>
      </c>
      <c r="C3">
        <v>2</v>
      </c>
      <c r="D3" t="s">
        <v>26</v>
      </c>
      <c r="E3">
        <v>20</v>
      </c>
      <c r="F3" t="s">
        <v>16</v>
      </c>
      <c r="G3" t="s">
        <v>16</v>
      </c>
      <c r="H3" s="10" t="s">
        <v>567</v>
      </c>
      <c r="I3" s="64" t="s">
        <v>17</v>
      </c>
      <c r="J3" s="4" t="s">
        <v>18</v>
      </c>
      <c r="K3" s="1" t="s">
        <v>19</v>
      </c>
      <c r="L3" s="4" t="s">
        <v>20</v>
      </c>
      <c r="M3" s="2" t="s">
        <v>21</v>
      </c>
      <c r="N3" s="4" t="s">
        <v>22</v>
      </c>
      <c r="O3" s="2" t="s">
        <v>561</v>
      </c>
      <c r="P3" s="4" t="s">
        <v>563</v>
      </c>
      <c r="Q3" s="9" t="s">
        <v>24</v>
      </c>
      <c r="R3" s="4" t="s">
        <v>25</v>
      </c>
    </row>
    <row r="4" spans="1:18" x14ac:dyDescent="0.35">
      <c r="A4" s="63">
        <v>3</v>
      </c>
      <c r="C4">
        <v>3</v>
      </c>
      <c r="D4" t="s">
        <v>27</v>
      </c>
      <c r="E4">
        <v>30</v>
      </c>
      <c r="F4" t="s">
        <v>16</v>
      </c>
      <c r="G4" t="s">
        <v>16</v>
      </c>
      <c r="H4" s="10" t="s">
        <v>567</v>
      </c>
      <c r="I4" s="64" t="s">
        <v>28</v>
      </c>
      <c r="J4" s="4" t="s">
        <v>29</v>
      </c>
      <c r="K4" s="1" t="s">
        <v>30</v>
      </c>
      <c r="L4" s="4" t="s">
        <v>31</v>
      </c>
      <c r="M4" s="2" t="s">
        <v>21</v>
      </c>
      <c r="N4" s="4" t="s">
        <v>22</v>
      </c>
      <c r="O4" s="2" t="s">
        <v>561</v>
      </c>
      <c r="P4" s="4" t="s">
        <v>563</v>
      </c>
      <c r="Q4" s="9" t="s">
        <v>24</v>
      </c>
      <c r="R4" s="4" t="s">
        <v>25</v>
      </c>
    </row>
    <row r="5" spans="1:18" x14ac:dyDescent="0.35">
      <c r="A5" s="63">
        <v>4</v>
      </c>
      <c r="C5">
        <v>4</v>
      </c>
      <c r="D5" t="s">
        <v>32</v>
      </c>
      <c r="E5">
        <v>40</v>
      </c>
      <c r="F5" t="s">
        <v>16</v>
      </c>
      <c r="G5" t="s">
        <v>16</v>
      </c>
      <c r="H5" s="10" t="s">
        <v>567</v>
      </c>
      <c r="I5" s="64" t="s">
        <v>33</v>
      </c>
      <c r="J5" s="4" t="s">
        <v>34</v>
      </c>
      <c r="K5" s="1" t="s">
        <v>35</v>
      </c>
      <c r="L5" s="4" t="s">
        <v>36</v>
      </c>
      <c r="M5" s="2" t="s">
        <v>21</v>
      </c>
      <c r="N5" s="4" t="s">
        <v>22</v>
      </c>
      <c r="O5" s="2" t="s">
        <v>561</v>
      </c>
      <c r="P5" s="4" t="s">
        <v>563</v>
      </c>
      <c r="Q5" s="9" t="s">
        <v>24</v>
      </c>
      <c r="R5" s="4" t="s">
        <v>25</v>
      </c>
    </row>
    <row r="6" spans="1:18" x14ac:dyDescent="0.35">
      <c r="A6" s="63">
        <v>5</v>
      </c>
      <c r="C6">
        <v>5</v>
      </c>
      <c r="D6" t="s">
        <v>37</v>
      </c>
      <c r="E6">
        <v>50</v>
      </c>
      <c r="F6" t="s">
        <v>16</v>
      </c>
      <c r="G6" t="s">
        <v>16</v>
      </c>
      <c r="H6" s="10" t="s">
        <v>567</v>
      </c>
      <c r="I6" s="64" t="s">
        <v>28</v>
      </c>
      <c r="J6" s="4" t="s">
        <v>29</v>
      </c>
      <c r="K6" s="1" t="s">
        <v>30</v>
      </c>
      <c r="L6" s="4" t="s">
        <v>31</v>
      </c>
      <c r="M6" s="2" t="s">
        <v>21</v>
      </c>
      <c r="N6" s="4" t="s">
        <v>22</v>
      </c>
      <c r="O6" s="2" t="s">
        <v>561</v>
      </c>
      <c r="P6" s="4" t="s">
        <v>563</v>
      </c>
      <c r="Q6" s="9" t="s">
        <v>24</v>
      </c>
      <c r="R6" s="4" t="s">
        <v>25</v>
      </c>
    </row>
    <row r="7" spans="1:18" x14ac:dyDescent="0.35">
      <c r="A7" s="63">
        <v>6</v>
      </c>
      <c r="C7">
        <v>6</v>
      </c>
      <c r="D7" t="s">
        <v>38</v>
      </c>
      <c r="E7">
        <v>60</v>
      </c>
      <c r="F7" t="s">
        <v>16</v>
      </c>
      <c r="G7" t="s">
        <v>16</v>
      </c>
      <c r="H7" s="10" t="s">
        <v>567</v>
      </c>
      <c r="I7" s="64" t="s">
        <v>33</v>
      </c>
      <c r="J7" s="4" t="s">
        <v>34</v>
      </c>
      <c r="K7" s="1" t="s">
        <v>35</v>
      </c>
      <c r="L7" s="4" t="s">
        <v>36</v>
      </c>
      <c r="M7" s="2" t="s">
        <v>21</v>
      </c>
      <c r="N7" s="4" t="s">
        <v>22</v>
      </c>
      <c r="O7" s="2" t="s">
        <v>561</v>
      </c>
      <c r="P7" s="4" t="s">
        <v>563</v>
      </c>
      <c r="Q7" s="9" t="s">
        <v>24</v>
      </c>
      <c r="R7" s="4" t="s">
        <v>25</v>
      </c>
    </row>
    <row r="8" spans="1:18" x14ac:dyDescent="0.35">
      <c r="A8" s="63">
        <v>7</v>
      </c>
      <c r="C8">
        <v>7</v>
      </c>
      <c r="D8" t="s">
        <v>39</v>
      </c>
      <c r="E8">
        <v>70</v>
      </c>
      <c r="F8" t="s">
        <v>16</v>
      </c>
      <c r="G8" t="s">
        <v>16</v>
      </c>
      <c r="H8" s="10" t="s">
        <v>567</v>
      </c>
      <c r="I8" s="64" t="s">
        <v>33</v>
      </c>
      <c r="J8" s="4" t="s">
        <v>34</v>
      </c>
      <c r="K8" s="1" t="s">
        <v>35</v>
      </c>
      <c r="L8" s="4" t="s">
        <v>36</v>
      </c>
      <c r="M8" s="2" t="s">
        <v>21</v>
      </c>
      <c r="N8" s="4" t="s">
        <v>22</v>
      </c>
      <c r="O8" s="2" t="s">
        <v>561</v>
      </c>
      <c r="P8" s="4" t="s">
        <v>563</v>
      </c>
      <c r="Q8" s="9" t="s">
        <v>24</v>
      </c>
      <c r="R8" s="4" t="s">
        <v>25</v>
      </c>
    </row>
    <row r="9" spans="1:18" x14ac:dyDescent="0.35">
      <c r="A9" s="63">
        <v>8</v>
      </c>
      <c r="C9">
        <v>8</v>
      </c>
      <c r="D9" t="s">
        <v>40</v>
      </c>
      <c r="E9">
        <v>80</v>
      </c>
      <c r="F9" t="s">
        <v>41</v>
      </c>
      <c r="G9" t="s">
        <v>41</v>
      </c>
      <c r="H9" s="10" t="s">
        <v>567</v>
      </c>
      <c r="I9" s="64" t="s">
        <v>42</v>
      </c>
      <c r="J9" s="4" t="s">
        <v>43</v>
      </c>
      <c r="K9" s="1" t="s">
        <v>44</v>
      </c>
      <c r="L9" s="4" t="s">
        <v>45</v>
      </c>
      <c r="M9" s="2" t="s">
        <v>21</v>
      </c>
      <c r="N9" s="4" t="s">
        <v>22</v>
      </c>
      <c r="O9" s="2" t="s">
        <v>560</v>
      </c>
      <c r="P9" s="4" t="s">
        <v>562</v>
      </c>
      <c r="Q9" s="9" t="s">
        <v>24</v>
      </c>
      <c r="R9" s="4" t="s">
        <v>25</v>
      </c>
    </row>
    <row r="10" spans="1:18" x14ac:dyDescent="0.35">
      <c r="A10" s="63">
        <v>9</v>
      </c>
      <c r="C10">
        <v>9</v>
      </c>
      <c r="D10" t="s">
        <v>46</v>
      </c>
      <c r="E10">
        <v>90</v>
      </c>
      <c r="F10" t="s">
        <v>41</v>
      </c>
      <c r="G10" t="s">
        <v>41</v>
      </c>
      <c r="H10" s="10" t="s">
        <v>567</v>
      </c>
      <c r="I10" s="64" t="s">
        <v>42</v>
      </c>
      <c r="J10" s="4" t="s">
        <v>43</v>
      </c>
      <c r="K10" s="1" t="s">
        <v>44</v>
      </c>
      <c r="L10" s="4" t="s">
        <v>45</v>
      </c>
      <c r="M10" s="2" t="s">
        <v>21</v>
      </c>
      <c r="N10" s="4" t="s">
        <v>22</v>
      </c>
      <c r="O10" s="2" t="s">
        <v>560</v>
      </c>
      <c r="P10" s="4" t="s">
        <v>562</v>
      </c>
      <c r="Q10" s="9" t="s">
        <v>24</v>
      </c>
      <c r="R10" s="4" t="s">
        <v>25</v>
      </c>
    </row>
    <row r="11" spans="1:18" x14ac:dyDescent="0.35">
      <c r="A11" s="63">
        <v>10</v>
      </c>
      <c r="C11">
        <v>10</v>
      </c>
      <c r="D11" t="s">
        <v>47</v>
      </c>
      <c r="E11">
        <v>100</v>
      </c>
      <c r="F11" t="s">
        <v>41</v>
      </c>
      <c r="G11" t="s">
        <v>41</v>
      </c>
      <c r="H11" s="10" t="s">
        <v>567</v>
      </c>
      <c r="I11" s="64" t="s">
        <v>42</v>
      </c>
      <c r="J11" s="4" t="s">
        <v>43</v>
      </c>
      <c r="K11" s="1" t="s">
        <v>44</v>
      </c>
      <c r="L11" s="4" t="s">
        <v>45</v>
      </c>
      <c r="M11" s="2" t="s">
        <v>21</v>
      </c>
      <c r="N11" s="4" t="s">
        <v>22</v>
      </c>
      <c r="O11" s="2" t="s">
        <v>560</v>
      </c>
      <c r="P11" s="4" t="s">
        <v>562</v>
      </c>
      <c r="Q11" s="9" t="s">
        <v>24</v>
      </c>
      <c r="R11" s="4" t="s">
        <v>25</v>
      </c>
    </row>
    <row r="12" spans="1:18" x14ac:dyDescent="0.35">
      <c r="A12" s="63">
        <v>11</v>
      </c>
      <c r="C12">
        <v>11</v>
      </c>
      <c r="D12" t="s">
        <v>48</v>
      </c>
      <c r="E12">
        <v>110</v>
      </c>
      <c r="F12" t="s">
        <v>41</v>
      </c>
      <c r="G12" t="s">
        <v>41</v>
      </c>
      <c r="H12" s="10" t="s">
        <v>567</v>
      </c>
      <c r="I12" s="64" t="s">
        <v>49</v>
      </c>
      <c r="J12" s="4" t="s">
        <v>50</v>
      </c>
      <c r="K12" s="1" t="s">
        <v>51</v>
      </c>
      <c r="L12" s="4" t="s">
        <v>52</v>
      </c>
      <c r="M12" s="2" t="s">
        <v>21</v>
      </c>
      <c r="N12" s="4" t="s">
        <v>22</v>
      </c>
      <c r="O12" s="2" t="s">
        <v>560</v>
      </c>
      <c r="P12" s="4" t="s">
        <v>562</v>
      </c>
      <c r="Q12" s="9" t="s">
        <v>24</v>
      </c>
      <c r="R12" s="4" t="s">
        <v>25</v>
      </c>
    </row>
    <row r="13" spans="1:18" x14ac:dyDescent="0.35">
      <c r="A13" s="63">
        <v>12</v>
      </c>
      <c r="C13">
        <v>12</v>
      </c>
      <c r="D13" t="s">
        <v>53</v>
      </c>
      <c r="E13">
        <v>120</v>
      </c>
      <c r="F13" t="s">
        <v>41</v>
      </c>
      <c r="G13" t="s">
        <v>41</v>
      </c>
      <c r="H13" s="10" t="s">
        <v>567</v>
      </c>
      <c r="I13" s="64" t="s">
        <v>54</v>
      </c>
      <c r="J13" s="4" t="s">
        <v>55</v>
      </c>
      <c r="K13" s="1" t="s">
        <v>56</v>
      </c>
      <c r="L13" s="4" t="s">
        <v>57</v>
      </c>
      <c r="M13" s="2" t="s">
        <v>21</v>
      </c>
      <c r="N13" s="4" t="s">
        <v>22</v>
      </c>
      <c r="O13" s="2" t="s">
        <v>560</v>
      </c>
      <c r="P13" s="4" t="s">
        <v>562</v>
      </c>
      <c r="Q13" s="9" t="s">
        <v>24</v>
      </c>
      <c r="R13" s="4" t="s">
        <v>25</v>
      </c>
    </row>
    <row r="14" spans="1:18" x14ac:dyDescent="0.35">
      <c r="A14" s="63">
        <v>13</v>
      </c>
      <c r="C14">
        <v>13</v>
      </c>
      <c r="D14" t="s">
        <v>58</v>
      </c>
      <c r="E14">
        <v>130</v>
      </c>
      <c r="F14" t="s">
        <v>16</v>
      </c>
      <c r="G14" t="s">
        <v>16</v>
      </c>
      <c r="H14" s="10" t="s">
        <v>567</v>
      </c>
      <c r="I14" s="65" t="s">
        <v>59</v>
      </c>
      <c r="J14" s="4" t="s">
        <v>60</v>
      </c>
      <c r="K14" s="1" t="s">
        <v>61</v>
      </c>
      <c r="L14" s="4" t="s">
        <v>62</v>
      </c>
      <c r="M14" s="2" t="s">
        <v>21</v>
      </c>
      <c r="N14" s="4" t="s">
        <v>22</v>
      </c>
      <c r="O14" s="2" t="s">
        <v>561</v>
      </c>
      <c r="P14" s="4" t="s">
        <v>563</v>
      </c>
      <c r="Q14" s="9" t="s">
        <v>24</v>
      </c>
      <c r="R14" s="4" t="s">
        <v>25</v>
      </c>
    </row>
    <row r="15" spans="1:18" x14ac:dyDescent="0.35">
      <c r="A15" s="63">
        <v>14</v>
      </c>
      <c r="C15">
        <v>14</v>
      </c>
      <c r="D15" t="s">
        <v>63</v>
      </c>
      <c r="E15">
        <v>92</v>
      </c>
      <c r="F15" t="s">
        <v>16</v>
      </c>
      <c r="G15" t="s">
        <v>16</v>
      </c>
      <c r="H15" s="10" t="s">
        <v>567</v>
      </c>
      <c r="I15" s="65" t="s">
        <v>59</v>
      </c>
      <c r="J15" s="4" t="s">
        <v>60</v>
      </c>
      <c r="K15" s="1" t="s">
        <v>61</v>
      </c>
      <c r="L15" s="4" t="s">
        <v>62</v>
      </c>
      <c r="M15" s="2" t="s">
        <v>21</v>
      </c>
      <c r="N15" s="4" t="s">
        <v>22</v>
      </c>
      <c r="O15" s="2" t="s">
        <v>561</v>
      </c>
      <c r="P15" s="4" t="s">
        <v>563</v>
      </c>
      <c r="Q15" s="9" t="s">
        <v>24</v>
      </c>
      <c r="R15" s="4" t="s">
        <v>25</v>
      </c>
    </row>
    <row r="16" spans="1:18" x14ac:dyDescent="0.35">
      <c r="A16" s="63">
        <v>15</v>
      </c>
      <c r="C16">
        <v>15</v>
      </c>
      <c r="D16" t="s">
        <v>64</v>
      </c>
      <c r="E16">
        <v>150</v>
      </c>
      <c r="F16" t="s">
        <v>41</v>
      </c>
      <c r="G16" t="s">
        <v>41</v>
      </c>
      <c r="H16" s="10" t="s">
        <v>567</v>
      </c>
      <c r="I16" s="64" t="s">
        <v>49</v>
      </c>
      <c r="J16" s="4" t="s">
        <v>50</v>
      </c>
      <c r="K16" s="1" t="s">
        <v>51</v>
      </c>
      <c r="L16" s="4" t="s">
        <v>52</v>
      </c>
      <c r="M16" s="2" t="s">
        <v>21</v>
      </c>
      <c r="N16" s="4" t="s">
        <v>22</v>
      </c>
      <c r="O16" s="2" t="s">
        <v>560</v>
      </c>
      <c r="P16" s="4" t="s">
        <v>562</v>
      </c>
      <c r="Q16" s="9" t="s">
        <v>24</v>
      </c>
      <c r="R16" s="4" t="s">
        <v>25</v>
      </c>
    </row>
    <row r="17" spans="1:18" x14ac:dyDescent="0.35">
      <c r="A17" s="63">
        <v>16</v>
      </c>
      <c r="C17">
        <v>16</v>
      </c>
      <c r="D17" t="s">
        <v>65</v>
      </c>
      <c r="E17">
        <v>160</v>
      </c>
      <c r="F17" t="s">
        <v>41</v>
      </c>
      <c r="G17" t="s">
        <v>41</v>
      </c>
      <c r="H17" s="10" t="s">
        <v>567</v>
      </c>
      <c r="I17" s="64" t="s">
        <v>66</v>
      </c>
      <c r="J17" s="4" t="s">
        <v>67</v>
      </c>
      <c r="K17" s="1" t="s">
        <v>68</v>
      </c>
      <c r="L17" s="4" t="s">
        <v>69</v>
      </c>
      <c r="M17" s="2" t="s">
        <v>21</v>
      </c>
      <c r="N17" s="4" t="s">
        <v>22</v>
      </c>
      <c r="O17" s="2" t="s">
        <v>560</v>
      </c>
      <c r="P17" s="4" t="s">
        <v>562</v>
      </c>
      <c r="Q17" s="9" t="s">
        <v>24</v>
      </c>
      <c r="R17" s="4" t="s">
        <v>25</v>
      </c>
    </row>
    <row r="18" spans="1:18" x14ac:dyDescent="0.35">
      <c r="A18" s="63">
        <v>17</v>
      </c>
      <c r="C18">
        <v>17</v>
      </c>
      <c r="D18" t="s">
        <v>70</v>
      </c>
      <c r="E18">
        <v>170</v>
      </c>
      <c r="F18" t="s">
        <v>41</v>
      </c>
      <c r="G18" t="s">
        <v>41</v>
      </c>
      <c r="H18" s="10" t="s">
        <v>567</v>
      </c>
      <c r="I18" s="64" t="s">
        <v>66</v>
      </c>
      <c r="J18" s="4" t="s">
        <v>67</v>
      </c>
      <c r="K18" s="1" t="s">
        <v>68</v>
      </c>
      <c r="L18" s="4" t="s">
        <v>69</v>
      </c>
      <c r="M18" s="2" t="s">
        <v>21</v>
      </c>
      <c r="N18" s="4" t="s">
        <v>22</v>
      </c>
      <c r="O18" s="2" t="s">
        <v>560</v>
      </c>
      <c r="P18" s="4" t="s">
        <v>562</v>
      </c>
      <c r="Q18" s="9" t="s">
        <v>24</v>
      </c>
      <c r="R18" s="4" t="s">
        <v>25</v>
      </c>
    </row>
    <row r="19" spans="1:18" x14ac:dyDescent="0.35">
      <c r="A19" s="63">
        <v>18</v>
      </c>
      <c r="C19">
        <v>18</v>
      </c>
      <c r="D19" t="s">
        <v>71</v>
      </c>
      <c r="E19">
        <v>180</v>
      </c>
      <c r="F19" t="s">
        <v>41</v>
      </c>
      <c r="G19" t="s">
        <v>41</v>
      </c>
      <c r="H19" s="10" t="s">
        <v>567</v>
      </c>
      <c r="I19" s="64" t="s">
        <v>66</v>
      </c>
      <c r="J19" s="4" t="s">
        <v>67</v>
      </c>
      <c r="K19" s="1" t="s">
        <v>68</v>
      </c>
      <c r="L19" s="4" t="s">
        <v>69</v>
      </c>
      <c r="M19" s="2" t="s">
        <v>21</v>
      </c>
      <c r="N19" s="4" t="s">
        <v>22</v>
      </c>
      <c r="O19" s="2" t="s">
        <v>560</v>
      </c>
      <c r="P19" s="4" t="s">
        <v>562</v>
      </c>
      <c r="Q19" s="9" t="s">
        <v>24</v>
      </c>
      <c r="R19" s="4" t="s">
        <v>25</v>
      </c>
    </row>
    <row r="20" spans="1:18" x14ac:dyDescent="0.35">
      <c r="A20" s="63">
        <v>19</v>
      </c>
      <c r="C20">
        <v>19</v>
      </c>
      <c r="D20" t="s">
        <v>72</v>
      </c>
      <c r="E20">
        <v>91</v>
      </c>
      <c r="F20" t="s">
        <v>16</v>
      </c>
      <c r="G20" t="s">
        <v>16</v>
      </c>
      <c r="H20" s="10" t="s">
        <v>567</v>
      </c>
      <c r="I20" s="65" t="s">
        <v>73</v>
      </c>
      <c r="J20" s="4" t="s">
        <v>74</v>
      </c>
      <c r="K20" s="1" t="s">
        <v>75</v>
      </c>
      <c r="L20" s="4" t="s">
        <v>76</v>
      </c>
      <c r="M20" s="2" t="s">
        <v>21</v>
      </c>
      <c r="N20" s="4" t="s">
        <v>22</v>
      </c>
      <c r="O20" s="2" t="s">
        <v>561</v>
      </c>
      <c r="P20" s="4" t="s">
        <v>563</v>
      </c>
      <c r="Q20" s="9" t="s">
        <v>24</v>
      </c>
      <c r="R20" s="4" t="s">
        <v>25</v>
      </c>
    </row>
    <row r="21" spans="1:18" x14ac:dyDescent="0.35">
      <c r="A21" s="63">
        <v>20</v>
      </c>
      <c r="C21">
        <v>20</v>
      </c>
      <c r="D21" t="s">
        <v>77</v>
      </c>
      <c r="E21">
        <v>200</v>
      </c>
      <c r="F21" t="s">
        <v>41</v>
      </c>
      <c r="G21" t="s">
        <v>41</v>
      </c>
      <c r="H21" s="10" t="s">
        <v>567</v>
      </c>
      <c r="I21" s="64" t="s">
        <v>66</v>
      </c>
      <c r="J21" s="4" t="s">
        <v>67</v>
      </c>
      <c r="K21" s="1" t="s">
        <v>68</v>
      </c>
      <c r="L21" s="4" t="s">
        <v>69</v>
      </c>
      <c r="M21" s="2" t="s">
        <v>21</v>
      </c>
      <c r="N21" s="4" t="s">
        <v>22</v>
      </c>
      <c r="O21" s="2" t="s">
        <v>560</v>
      </c>
      <c r="P21" s="4" t="s">
        <v>562</v>
      </c>
      <c r="Q21" s="9" t="s">
        <v>24</v>
      </c>
      <c r="R21" s="4" t="s">
        <v>25</v>
      </c>
    </row>
    <row r="22" spans="1:18" x14ac:dyDescent="0.35">
      <c r="A22" s="63">
        <v>21</v>
      </c>
      <c r="C22">
        <v>21</v>
      </c>
      <c r="D22" t="s">
        <v>78</v>
      </c>
      <c r="E22">
        <v>210</v>
      </c>
      <c r="F22" t="s">
        <v>41</v>
      </c>
      <c r="G22" t="s">
        <v>41</v>
      </c>
      <c r="H22" s="10" t="s">
        <v>567</v>
      </c>
      <c r="I22" s="64" t="s">
        <v>42</v>
      </c>
      <c r="J22" s="4" t="s">
        <v>43</v>
      </c>
      <c r="K22" s="1" t="s">
        <v>44</v>
      </c>
      <c r="L22" s="4" t="s">
        <v>45</v>
      </c>
      <c r="M22" s="2" t="s">
        <v>21</v>
      </c>
      <c r="N22" s="4" t="s">
        <v>22</v>
      </c>
      <c r="O22" s="2" t="s">
        <v>560</v>
      </c>
      <c r="P22" s="4" t="s">
        <v>562</v>
      </c>
      <c r="Q22" s="9" t="s">
        <v>24</v>
      </c>
      <c r="R22" s="4" t="s">
        <v>25</v>
      </c>
    </row>
    <row r="23" spans="1:18" x14ac:dyDescent="0.35">
      <c r="A23" s="63">
        <v>22</v>
      </c>
      <c r="C23">
        <v>22</v>
      </c>
      <c r="D23" t="s">
        <v>79</v>
      </c>
      <c r="E23">
        <v>220</v>
      </c>
      <c r="F23" t="s">
        <v>41</v>
      </c>
      <c r="G23" t="s">
        <v>41</v>
      </c>
      <c r="H23" s="10" t="s">
        <v>567</v>
      </c>
      <c r="I23" s="64" t="s">
        <v>80</v>
      </c>
      <c r="J23" s="4" t="s">
        <v>461</v>
      </c>
      <c r="K23" s="1" t="s">
        <v>462</v>
      </c>
      <c r="L23" s="4" t="s">
        <v>463</v>
      </c>
      <c r="M23" s="2" t="s">
        <v>21</v>
      </c>
      <c r="N23" s="4" t="s">
        <v>22</v>
      </c>
      <c r="O23" s="2" t="s">
        <v>560</v>
      </c>
      <c r="P23" s="4" t="s">
        <v>562</v>
      </c>
      <c r="Q23" s="9" t="s">
        <v>24</v>
      </c>
      <c r="R23" s="4" t="s">
        <v>25</v>
      </c>
    </row>
    <row r="24" spans="1:18" x14ac:dyDescent="0.35">
      <c r="A24" s="63">
        <v>23</v>
      </c>
      <c r="C24">
        <v>23</v>
      </c>
      <c r="D24" t="s">
        <v>82</v>
      </c>
      <c r="E24">
        <v>230</v>
      </c>
      <c r="F24" t="s">
        <v>16</v>
      </c>
      <c r="G24" t="s">
        <v>16</v>
      </c>
      <c r="H24" s="10" t="s">
        <v>567</v>
      </c>
      <c r="I24" s="65" t="s">
        <v>83</v>
      </c>
      <c r="J24" s="66" t="s">
        <v>84</v>
      </c>
      <c r="K24" s="64" t="s">
        <v>85</v>
      </c>
      <c r="L24" s="4" t="s">
        <v>86</v>
      </c>
      <c r="M24" s="2" t="s">
        <v>21</v>
      </c>
      <c r="N24" s="4" t="s">
        <v>22</v>
      </c>
      <c r="O24" s="2" t="s">
        <v>561</v>
      </c>
      <c r="P24" s="4" t="s">
        <v>563</v>
      </c>
      <c r="Q24" s="9" t="s">
        <v>24</v>
      </c>
      <c r="R24" s="4" t="s">
        <v>25</v>
      </c>
    </row>
    <row r="25" spans="1:18" x14ac:dyDescent="0.35">
      <c r="A25" s="63">
        <v>24</v>
      </c>
      <c r="C25">
        <v>24</v>
      </c>
      <c r="D25" t="s">
        <v>87</v>
      </c>
      <c r="E25">
        <v>240</v>
      </c>
      <c r="F25" t="s">
        <v>41</v>
      </c>
      <c r="G25" t="s">
        <v>41</v>
      </c>
      <c r="H25" s="10" t="s">
        <v>567</v>
      </c>
      <c r="I25" s="64" t="s">
        <v>49</v>
      </c>
      <c r="J25" s="4" t="s">
        <v>50</v>
      </c>
      <c r="K25" s="1" t="s">
        <v>51</v>
      </c>
      <c r="L25" s="4" t="s">
        <v>52</v>
      </c>
      <c r="M25" s="2" t="s">
        <v>21</v>
      </c>
      <c r="N25" s="4" t="s">
        <v>22</v>
      </c>
      <c r="O25" s="2" t="s">
        <v>560</v>
      </c>
      <c r="P25" s="4" t="s">
        <v>562</v>
      </c>
      <c r="Q25" s="9" t="s">
        <v>24</v>
      </c>
      <c r="R25" s="4" t="s">
        <v>25</v>
      </c>
    </row>
    <row r="26" spans="1:18" x14ac:dyDescent="0.35">
      <c r="A26" s="63">
        <v>25</v>
      </c>
      <c r="C26">
        <v>25</v>
      </c>
      <c r="D26" t="s">
        <v>88</v>
      </c>
      <c r="E26">
        <v>250</v>
      </c>
      <c r="F26" t="s">
        <v>16</v>
      </c>
      <c r="G26" t="s">
        <v>16</v>
      </c>
      <c r="H26" s="10" t="s">
        <v>567</v>
      </c>
      <c r="I26" s="65" t="s">
        <v>89</v>
      </c>
      <c r="J26" s="67" t="s">
        <v>90</v>
      </c>
      <c r="K26" s="64" t="s">
        <v>91</v>
      </c>
      <c r="L26" s="4" t="s">
        <v>92</v>
      </c>
      <c r="M26" s="2" t="s">
        <v>21</v>
      </c>
      <c r="N26" s="4" t="s">
        <v>22</v>
      </c>
      <c r="O26" s="2" t="s">
        <v>561</v>
      </c>
      <c r="P26" s="4" t="s">
        <v>563</v>
      </c>
      <c r="Q26" s="9" t="s">
        <v>24</v>
      </c>
      <c r="R26" s="4" t="s">
        <v>25</v>
      </c>
    </row>
    <row r="27" spans="1:18" s="69" customFormat="1" x14ac:dyDescent="0.35">
      <c r="A27" s="68">
        <v>26</v>
      </c>
      <c r="C27" s="69">
        <v>26</v>
      </c>
      <c r="D27" s="69" t="s">
        <v>93</v>
      </c>
      <c r="E27" s="69">
        <v>260</v>
      </c>
      <c r="F27" s="69" t="s">
        <v>338</v>
      </c>
      <c r="G27" s="69" t="s">
        <v>339</v>
      </c>
      <c r="H27" s="70" t="s">
        <v>568</v>
      </c>
      <c r="I27" s="71" t="s">
        <v>95</v>
      </c>
      <c r="J27" s="72" t="s">
        <v>96</v>
      </c>
      <c r="K27" s="71" t="s">
        <v>95</v>
      </c>
      <c r="L27" s="73" t="s">
        <v>96</v>
      </c>
      <c r="M27" s="74" t="s">
        <v>21</v>
      </c>
      <c r="N27" s="73" t="s">
        <v>22</v>
      </c>
      <c r="O27" s="2" t="s">
        <v>561</v>
      </c>
      <c r="P27" s="4" t="s">
        <v>563</v>
      </c>
      <c r="Q27" s="9" t="s">
        <v>24</v>
      </c>
      <c r="R27" s="4" t="s">
        <v>25</v>
      </c>
    </row>
    <row r="28" spans="1:18" s="47" customFormat="1" x14ac:dyDescent="0.35">
      <c r="A28" s="75">
        <v>26</v>
      </c>
      <c r="C28" s="47">
        <v>26</v>
      </c>
      <c r="D28" s="47" t="s">
        <v>520</v>
      </c>
      <c r="E28" s="47">
        <v>260</v>
      </c>
      <c r="F28" s="47" t="s">
        <v>338</v>
      </c>
      <c r="G28" s="47" t="s">
        <v>339</v>
      </c>
      <c r="H28" s="4" t="s">
        <v>568</v>
      </c>
      <c r="I28" s="76" t="s">
        <v>95</v>
      </c>
      <c r="J28" s="4" t="s">
        <v>525</v>
      </c>
      <c r="K28" s="76" t="s">
        <v>95</v>
      </c>
      <c r="L28" s="4" t="s">
        <v>525</v>
      </c>
      <c r="M28" s="2" t="s">
        <v>21</v>
      </c>
      <c r="N28" s="4" t="s">
        <v>22</v>
      </c>
      <c r="O28" s="2" t="s">
        <v>561</v>
      </c>
      <c r="P28" s="4" t="s">
        <v>563</v>
      </c>
      <c r="Q28" s="9" t="s">
        <v>24</v>
      </c>
      <c r="R28" s="4" t="s">
        <v>25</v>
      </c>
    </row>
    <row r="29" spans="1:18" x14ac:dyDescent="0.35">
      <c r="A29" s="63">
        <v>27</v>
      </c>
      <c r="C29">
        <v>27</v>
      </c>
      <c r="D29" t="s">
        <v>97</v>
      </c>
      <c r="E29">
        <v>270</v>
      </c>
      <c r="F29" t="s">
        <v>338</v>
      </c>
      <c r="G29" t="s">
        <v>340</v>
      </c>
      <c r="H29" s="10" t="s">
        <v>567</v>
      </c>
      <c r="I29" s="76" t="s">
        <v>98</v>
      </c>
      <c r="J29" s="67" t="s">
        <v>99</v>
      </c>
      <c r="K29" s="2" t="s">
        <v>98</v>
      </c>
      <c r="L29" s="67" t="s">
        <v>99</v>
      </c>
      <c r="M29" s="2" t="s">
        <v>21</v>
      </c>
      <c r="N29" s="4" t="s">
        <v>22</v>
      </c>
      <c r="O29" s="2" t="s">
        <v>561</v>
      </c>
      <c r="P29" s="4" t="s">
        <v>563</v>
      </c>
      <c r="Q29" s="9" t="s">
        <v>24</v>
      </c>
      <c r="R29" s="4" t="s">
        <v>25</v>
      </c>
    </row>
    <row r="30" spans="1:18" x14ac:dyDescent="0.35">
      <c r="A30" s="63">
        <v>28</v>
      </c>
      <c r="C30">
        <v>28</v>
      </c>
      <c r="D30" t="s">
        <v>102</v>
      </c>
      <c r="E30">
        <v>280</v>
      </c>
      <c r="F30" t="s">
        <v>41</v>
      </c>
      <c r="G30" t="s">
        <v>41</v>
      </c>
      <c r="H30" s="10" t="s">
        <v>567</v>
      </c>
      <c r="I30" s="64" t="s">
        <v>49</v>
      </c>
      <c r="J30" s="4" t="s">
        <v>50</v>
      </c>
      <c r="K30" s="1" t="s">
        <v>51</v>
      </c>
      <c r="L30" s="4" t="s">
        <v>52</v>
      </c>
      <c r="M30" s="2" t="s">
        <v>21</v>
      </c>
      <c r="N30" s="4" t="s">
        <v>22</v>
      </c>
      <c r="O30" s="2" t="s">
        <v>560</v>
      </c>
      <c r="P30" s="4" t="s">
        <v>562</v>
      </c>
      <c r="Q30" s="9" t="s">
        <v>24</v>
      </c>
      <c r="R30" s="4" t="s">
        <v>25</v>
      </c>
    </row>
    <row r="31" spans="1:18" x14ac:dyDescent="0.35">
      <c r="A31" s="63">
        <v>29</v>
      </c>
      <c r="C31">
        <v>29</v>
      </c>
      <c r="D31" t="s">
        <v>105</v>
      </c>
      <c r="E31">
        <v>290</v>
      </c>
      <c r="F31" t="s">
        <v>16</v>
      </c>
      <c r="G31" t="s">
        <v>16</v>
      </c>
      <c r="H31" s="10" t="s">
        <v>567</v>
      </c>
      <c r="I31" s="76" t="s">
        <v>106</v>
      </c>
      <c r="J31" s="4" t="s">
        <v>487</v>
      </c>
      <c r="K31" s="1" t="s">
        <v>167</v>
      </c>
      <c r="L31" s="4" t="s">
        <v>488</v>
      </c>
      <c r="M31" s="2" t="s">
        <v>21</v>
      </c>
      <c r="N31" s="4" t="s">
        <v>22</v>
      </c>
      <c r="O31" s="2" t="s">
        <v>561</v>
      </c>
      <c r="P31" s="4" t="s">
        <v>563</v>
      </c>
      <c r="Q31" s="9" t="s">
        <v>24</v>
      </c>
      <c r="R31" s="4" t="s">
        <v>25</v>
      </c>
    </row>
    <row r="32" spans="1:18" x14ac:dyDescent="0.35">
      <c r="A32" s="63">
        <v>30</v>
      </c>
      <c r="C32">
        <v>30</v>
      </c>
      <c r="D32" t="s">
        <v>109</v>
      </c>
      <c r="E32">
        <v>300</v>
      </c>
      <c r="F32" t="s">
        <v>16</v>
      </c>
      <c r="G32" t="s">
        <v>16</v>
      </c>
      <c r="H32" s="10" t="s">
        <v>567</v>
      </c>
      <c r="I32" s="76" t="s">
        <v>106</v>
      </c>
      <c r="J32" s="4" t="s">
        <v>487</v>
      </c>
      <c r="K32" s="1" t="s">
        <v>167</v>
      </c>
      <c r="L32" s="4" t="s">
        <v>488</v>
      </c>
      <c r="M32" s="2" t="s">
        <v>21</v>
      </c>
      <c r="N32" s="4" t="s">
        <v>22</v>
      </c>
      <c r="O32" s="2" t="s">
        <v>561</v>
      </c>
      <c r="P32" s="4" t="s">
        <v>563</v>
      </c>
      <c r="Q32" s="9" t="s">
        <v>24</v>
      </c>
      <c r="R32" s="4" t="s">
        <v>25</v>
      </c>
    </row>
    <row r="33" spans="1:18" x14ac:dyDescent="0.35">
      <c r="A33" s="63">
        <v>31</v>
      </c>
      <c r="C33">
        <v>31</v>
      </c>
      <c r="D33" t="s">
        <v>112</v>
      </c>
      <c r="E33">
        <v>320</v>
      </c>
      <c r="F33" t="s">
        <v>338</v>
      </c>
      <c r="G33" t="s">
        <v>341</v>
      </c>
      <c r="H33" s="10" t="s">
        <v>568</v>
      </c>
      <c r="I33" s="76" t="s">
        <v>114</v>
      </c>
      <c r="J33" s="67" t="s">
        <v>115</v>
      </c>
      <c r="K33" s="76" t="s">
        <v>114</v>
      </c>
      <c r="L33" s="4" t="s">
        <v>115</v>
      </c>
      <c r="M33" s="2" t="s">
        <v>21</v>
      </c>
      <c r="N33" s="4" t="s">
        <v>22</v>
      </c>
      <c r="O33" s="2" t="s">
        <v>561</v>
      </c>
      <c r="P33" s="4" t="s">
        <v>563</v>
      </c>
      <c r="Q33" s="9" t="s">
        <v>24</v>
      </c>
      <c r="R33" s="4" t="s">
        <v>25</v>
      </c>
    </row>
    <row r="34" spans="1:18" x14ac:dyDescent="0.35">
      <c r="A34" s="63">
        <v>32</v>
      </c>
      <c r="C34">
        <v>32</v>
      </c>
      <c r="D34" t="s">
        <v>116</v>
      </c>
      <c r="E34">
        <v>330</v>
      </c>
      <c r="F34" t="s">
        <v>338</v>
      </c>
      <c r="G34" t="s">
        <v>342</v>
      </c>
      <c r="H34" s="10" t="s">
        <v>568</v>
      </c>
      <c r="I34" s="76" t="s">
        <v>118</v>
      </c>
      <c r="J34" s="67" t="s">
        <v>119</v>
      </c>
      <c r="K34" s="76" t="s">
        <v>118</v>
      </c>
      <c r="L34" s="4" t="s">
        <v>119</v>
      </c>
      <c r="M34" s="2" t="s">
        <v>21</v>
      </c>
      <c r="N34" s="4" t="s">
        <v>22</v>
      </c>
      <c r="O34" s="2" t="s">
        <v>561</v>
      </c>
      <c r="P34" s="4" t="s">
        <v>563</v>
      </c>
      <c r="Q34" s="9" t="s">
        <v>24</v>
      </c>
      <c r="R34" s="4" t="s">
        <v>25</v>
      </c>
    </row>
    <row r="35" spans="1:18" x14ac:dyDescent="0.35">
      <c r="A35" s="63">
        <v>33</v>
      </c>
      <c r="C35">
        <v>33</v>
      </c>
      <c r="D35" t="s">
        <v>120</v>
      </c>
      <c r="E35">
        <v>340</v>
      </c>
      <c r="F35" t="s">
        <v>338</v>
      </c>
      <c r="G35" t="s">
        <v>339</v>
      </c>
      <c r="H35" s="10" t="s">
        <v>568</v>
      </c>
      <c r="I35" s="76" t="s">
        <v>100</v>
      </c>
      <c r="J35" s="67" t="s">
        <v>101</v>
      </c>
      <c r="K35" s="76" t="s">
        <v>100</v>
      </c>
      <c r="L35" s="4" t="s">
        <v>101</v>
      </c>
      <c r="M35" s="2" t="s">
        <v>21</v>
      </c>
      <c r="N35" s="4" t="s">
        <v>22</v>
      </c>
      <c r="O35" s="2" t="s">
        <v>561</v>
      </c>
      <c r="P35" s="4" t="s">
        <v>563</v>
      </c>
      <c r="Q35" s="9" t="s">
        <v>24</v>
      </c>
      <c r="R35" s="4" t="s">
        <v>25</v>
      </c>
    </row>
    <row r="36" spans="1:18" x14ac:dyDescent="0.35">
      <c r="A36" s="63">
        <v>34</v>
      </c>
      <c r="C36">
        <v>34</v>
      </c>
      <c r="D36" t="s">
        <v>121</v>
      </c>
      <c r="E36">
        <v>350</v>
      </c>
      <c r="F36" t="s">
        <v>338</v>
      </c>
      <c r="G36" t="s">
        <v>339</v>
      </c>
      <c r="H36" s="10" t="s">
        <v>568</v>
      </c>
      <c r="I36" s="76" t="s">
        <v>122</v>
      </c>
      <c r="J36" s="67" t="s">
        <v>123</v>
      </c>
      <c r="K36" s="76" t="s">
        <v>122</v>
      </c>
      <c r="L36" s="4" t="s">
        <v>123</v>
      </c>
      <c r="M36" s="2" t="s">
        <v>21</v>
      </c>
      <c r="N36" s="4" t="s">
        <v>22</v>
      </c>
      <c r="O36" s="2" t="s">
        <v>561</v>
      </c>
      <c r="P36" s="4" t="s">
        <v>563</v>
      </c>
      <c r="Q36" s="9" t="s">
        <v>24</v>
      </c>
      <c r="R36" s="4" t="s">
        <v>25</v>
      </c>
    </row>
    <row r="37" spans="1:18" x14ac:dyDescent="0.35">
      <c r="A37" s="63">
        <v>35</v>
      </c>
      <c r="C37">
        <v>35</v>
      </c>
      <c r="D37" t="s">
        <v>124</v>
      </c>
      <c r="E37">
        <v>360</v>
      </c>
      <c r="F37" t="s">
        <v>338</v>
      </c>
      <c r="G37" t="s">
        <v>339</v>
      </c>
      <c r="H37" s="10" t="s">
        <v>568</v>
      </c>
      <c r="I37" s="76" t="s">
        <v>103</v>
      </c>
      <c r="J37" s="67" t="s">
        <v>104</v>
      </c>
      <c r="K37" s="76" t="s">
        <v>103</v>
      </c>
      <c r="L37" s="4" t="s">
        <v>104</v>
      </c>
      <c r="M37" s="2" t="s">
        <v>21</v>
      </c>
      <c r="N37" s="4" t="s">
        <v>22</v>
      </c>
      <c r="O37" s="2" t="s">
        <v>561</v>
      </c>
      <c r="P37" s="4" t="s">
        <v>563</v>
      </c>
      <c r="Q37" s="9" t="s">
        <v>24</v>
      </c>
      <c r="R37" s="4" t="s">
        <v>25</v>
      </c>
    </row>
    <row r="38" spans="1:18" x14ac:dyDescent="0.35">
      <c r="A38" s="63">
        <v>36</v>
      </c>
      <c r="C38">
        <v>36</v>
      </c>
      <c r="D38" t="s">
        <v>125</v>
      </c>
      <c r="E38">
        <v>370</v>
      </c>
      <c r="F38" t="s">
        <v>338</v>
      </c>
      <c r="G38" t="s">
        <v>339</v>
      </c>
      <c r="H38" s="10" t="s">
        <v>568</v>
      </c>
      <c r="I38" s="76" t="s">
        <v>107</v>
      </c>
      <c r="J38" s="67" t="s">
        <v>108</v>
      </c>
      <c r="K38" s="76" t="s">
        <v>107</v>
      </c>
      <c r="L38" s="4" t="s">
        <v>108</v>
      </c>
      <c r="M38" s="2" t="s">
        <v>21</v>
      </c>
      <c r="N38" s="4" t="s">
        <v>22</v>
      </c>
      <c r="O38" s="2" t="s">
        <v>561</v>
      </c>
      <c r="P38" s="4" t="s">
        <v>563</v>
      </c>
      <c r="Q38" s="9" t="s">
        <v>24</v>
      </c>
      <c r="R38" s="4" t="s">
        <v>25</v>
      </c>
    </row>
    <row r="39" spans="1:18" x14ac:dyDescent="0.35">
      <c r="A39" s="63">
        <v>37</v>
      </c>
      <c r="C39">
        <v>37</v>
      </c>
      <c r="D39" t="s">
        <v>126</v>
      </c>
      <c r="E39">
        <v>380</v>
      </c>
      <c r="F39" t="s">
        <v>338</v>
      </c>
      <c r="G39" t="s">
        <v>339</v>
      </c>
      <c r="H39" s="10" t="s">
        <v>568</v>
      </c>
      <c r="I39" s="76" t="s">
        <v>127</v>
      </c>
      <c r="J39" s="67" t="s">
        <v>128</v>
      </c>
      <c r="K39" s="76" t="s">
        <v>127</v>
      </c>
      <c r="L39" s="4" t="s">
        <v>128</v>
      </c>
      <c r="M39" s="2" t="s">
        <v>21</v>
      </c>
      <c r="N39" s="4" t="s">
        <v>22</v>
      </c>
      <c r="O39" s="2" t="s">
        <v>561</v>
      </c>
      <c r="P39" s="4" t="s">
        <v>563</v>
      </c>
      <c r="Q39" s="9" t="s">
        <v>24</v>
      </c>
      <c r="R39" s="4" t="s">
        <v>25</v>
      </c>
    </row>
    <row r="40" spans="1:18" x14ac:dyDescent="0.35">
      <c r="A40" s="63">
        <v>38</v>
      </c>
      <c r="C40">
        <v>38</v>
      </c>
      <c r="D40" t="s">
        <v>129</v>
      </c>
      <c r="E40">
        <v>390</v>
      </c>
      <c r="F40" t="s">
        <v>338</v>
      </c>
      <c r="G40" t="s">
        <v>339</v>
      </c>
      <c r="H40" s="10" t="s">
        <v>568</v>
      </c>
      <c r="I40" s="76" t="s">
        <v>110</v>
      </c>
      <c r="J40" s="67" t="s">
        <v>111</v>
      </c>
      <c r="K40" s="76" t="s">
        <v>110</v>
      </c>
      <c r="L40" s="4" t="s">
        <v>111</v>
      </c>
      <c r="M40" s="2" t="s">
        <v>21</v>
      </c>
      <c r="N40" s="4" t="s">
        <v>22</v>
      </c>
      <c r="O40" s="2" t="s">
        <v>561</v>
      </c>
      <c r="P40" s="4" t="s">
        <v>563</v>
      </c>
      <c r="Q40" s="9" t="s">
        <v>24</v>
      </c>
      <c r="R40" s="4" t="s">
        <v>25</v>
      </c>
    </row>
    <row r="41" spans="1:18" x14ac:dyDescent="0.35">
      <c r="A41" s="63">
        <v>39</v>
      </c>
      <c r="C41">
        <v>39</v>
      </c>
      <c r="D41" t="s">
        <v>130</v>
      </c>
      <c r="E41">
        <v>400</v>
      </c>
      <c r="F41" t="s">
        <v>338</v>
      </c>
      <c r="G41" t="s">
        <v>339</v>
      </c>
      <c r="H41" s="10" t="s">
        <v>568</v>
      </c>
      <c r="I41" s="76" t="s">
        <v>131</v>
      </c>
      <c r="J41" s="67" t="s">
        <v>132</v>
      </c>
      <c r="K41" s="76" t="s">
        <v>131</v>
      </c>
      <c r="L41" s="4" t="s">
        <v>132</v>
      </c>
      <c r="M41" s="2" t="s">
        <v>21</v>
      </c>
      <c r="N41" s="4" t="s">
        <v>22</v>
      </c>
      <c r="O41" s="2" t="s">
        <v>561</v>
      </c>
      <c r="P41" s="4" t="s">
        <v>563</v>
      </c>
      <c r="Q41" s="9" t="s">
        <v>24</v>
      </c>
      <c r="R41" s="4" t="s">
        <v>25</v>
      </c>
    </row>
    <row r="42" spans="1:18" x14ac:dyDescent="0.35">
      <c r="A42" s="63">
        <v>40</v>
      </c>
      <c r="C42">
        <v>40</v>
      </c>
      <c r="D42" t="s">
        <v>133</v>
      </c>
      <c r="E42">
        <v>410</v>
      </c>
      <c r="F42" t="s">
        <v>338</v>
      </c>
      <c r="G42" t="s">
        <v>343</v>
      </c>
      <c r="H42" s="10" t="s">
        <v>568</v>
      </c>
      <c r="I42" s="76" t="s">
        <v>134</v>
      </c>
      <c r="J42" s="67" t="s">
        <v>135</v>
      </c>
      <c r="K42" s="76" t="s">
        <v>134</v>
      </c>
      <c r="L42" s="4" t="s">
        <v>135</v>
      </c>
      <c r="M42" s="2" t="s">
        <v>21</v>
      </c>
      <c r="N42" s="4" t="s">
        <v>22</v>
      </c>
      <c r="O42" s="2" t="s">
        <v>561</v>
      </c>
      <c r="P42" s="4" t="s">
        <v>563</v>
      </c>
      <c r="Q42" s="9" t="s">
        <v>24</v>
      </c>
      <c r="R42" s="4" t="s">
        <v>25</v>
      </c>
    </row>
    <row r="43" spans="1:18" x14ac:dyDescent="0.35">
      <c r="A43" s="63">
        <v>41</v>
      </c>
      <c r="C43">
        <v>41</v>
      </c>
      <c r="D43" t="s">
        <v>136</v>
      </c>
      <c r="E43">
        <v>420</v>
      </c>
      <c r="F43" t="s">
        <v>338</v>
      </c>
      <c r="G43" t="s">
        <v>343</v>
      </c>
      <c r="H43" s="10" t="s">
        <v>568</v>
      </c>
      <c r="I43" s="76" t="s">
        <v>137</v>
      </c>
      <c r="J43" s="67" t="s">
        <v>138</v>
      </c>
      <c r="K43" s="76" t="s">
        <v>137</v>
      </c>
      <c r="L43" s="4" t="s">
        <v>138</v>
      </c>
      <c r="M43" s="2" t="s">
        <v>21</v>
      </c>
      <c r="N43" s="4" t="s">
        <v>22</v>
      </c>
      <c r="O43" s="2" t="s">
        <v>561</v>
      </c>
      <c r="P43" s="4" t="s">
        <v>563</v>
      </c>
      <c r="Q43" s="9" t="s">
        <v>24</v>
      </c>
      <c r="R43" s="4" t="s">
        <v>25</v>
      </c>
    </row>
    <row r="44" spans="1:18" x14ac:dyDescent="0.35">
      <c r="A44" s="63">
        <v>42</v>
      </c>
      <c r="C44">
        <v>42</v>
      </c>
      <c r="D44" t="s">
        <v>139</v>
      </c>
      <c r="E44">
        <v>430</v>
      </c>
      <c r="F44" t="s">
        <v>338</v>
      </c>
      <c r="G44" t="s">
        <v>343</v>
      </c>
      <c r="H44" s="10" t="s">
        <v>568</v>
      </c>
      <c r="I44" s="76" t="s">
        <v>140</v>
      </c>
      <c r="J44" s="67" t="s">
        <v>141</v>
      </c>
      <c r="K44" s="76" t="s">
        <v>140</v>
      </c>
      <c r="L44" s="4" t="s">
        <v>141</v>
      </c>
      <c r="M44" s="2" t="s">
        <v>21</v>
      </c>
      <c r="N44" s="4" t="s">
        <v>22</v>
      </c>
      <c r="O44" s="2" t="s">
        <v>561</v>
      </c>
      <c r="P44" s="4" t="s">
        <v>563</v>
      </c>
      <c r="Q44" s="9" t="s">
        <v>24</v>
      </c>
      <c r="R44" s="4" t="s">
        <v>25</v>
      </c>
    </row>
    <row r="45" spans="1:18" x14ac:dyDescent="0.35">
      <c r="A45" s="63">
        <v>43</v>
      </c>
      <c r="C45">
        <v>43</v>
      </c>
      <c r="D45" t="s">
        <v>142</v>
      </c>
      <c r="E45">
        <v>310</v>
      </c>
      <c r="F45" t="s">
        <v>338</v>
      </c>
      <c r="G45" t="s">
        <v>344</v>
      </c>
      <c r="H45" s="10" t="s">
        <v>567</v>
      </c>
      <c r="I45" s="76" t="s">
        <v>144</v>
      </c>
      <c r="J45" s="67" t="s">
        <v>145</v>
      </c>
      <c r="K45" s="76" t="s">
        <v>144</v>
      </c>
      <c r="L45" s="4" t="s">
        <v>145</v>
      </c>
      <c r="M45" s="2" t="s">
        <v>21</v>
      </c>
      <c r="N45" s="4" t="s">
        <v>22</v>
      </c>
      <c r="O45" s="2" t="s">
        <v>561</v>
      </c>
      <c r="P45" s="4" t="s">
        <v>563</v>
      </c>
      <c r="Q45" s="9" t="s">
        <v>24</v>
      </c>
      <c r="R45" s="4" t="s">
        <v>25</v>
      </c>
    </row>
    <row r="46" spans="1:18" x14ac:dyDescent="0.35">
      <c r="A46" s="63">
        <v>44</v>
      </c>
      <c r="C46">
        <v>44</v>
      </c>
      <c r="D46" t="s">
        <v>146</v>
      </c>
      <c r="E46">
        <v>440</v>
      </c>
      <c r="F46" t="s">
        <v>41</v>
      </c>
      <c r="G46" t="s">
        <v>41</v>
      </c>
      <c r="H46" s="10" t="s">
        <v>567</v>
      </c>
      <c r="I46" s="64" t="s">
        <v>42</v>
      </c>
      <c r="J46" s="67" t="s">
        <v>43</v>
      </c>
      <c r="K46" s="64" t="s">
        <v>44</v>
      </c>
      <c r="L46" s="4" t="s">
        <v>45</v>
      </c>
      <c r="M46" s="2" t="s">
        <v>21</v>
      </c>
      <c r="N46" s="4" t="s">
        <v>22</v>
      </c>
      <c r="O46" s="2" t="s">
        <v>560</v>
      </c>
      <c r="P46" s="4" t="s">
        <v>562</v>
      </c>
      <c r="Q46" s="9" t="s">
        <v>24</v>
      </c>
      <c r="R46" s="4" t="s">
        <v>25</v>
      </c>
    </row>
    <row r="47" spans="1:18" x14ac:dyDescent="0.35">
      <c r="A47" s="63">
        <v>45</v>
      </c>
      <c r="C47">
        <v>45</v>
      </c>
      <c r="D47" t="s">
        <v>147</v>
      </c>
      <c r="E47">
        <v>450</v>
      </c>
      <c r="F47" t="s">
        <v>41</v>
      </c>
      <c r="G47" t="s">
        <v>41</v>
      </c>
      <c r="H47" s="10" t="s">
        <v>567</v>
      </c>
      <c r="I47" s="64" t="s">
        <v>49</v>
      </c>
      <c r="J47" s="67" t="s">
        <v>50</v>
      </c>
      <c r="K47" s="64" t="s">
        <v>51</v>
      </c>
      <c r="L47" s="4" t="s">
        <v>52</v>
      </c>
      <c r="M47" s="2" t="s">
        <v>21</v>
      </c>
      <c r="N47" s="4" t="s">
        <v>22</v>
      </c>
      <c r="O47" s="2" t="s">
        <v>560</v>
      </c>
      <c r="P47" s="4" t="s">
        <v>562</v>
      </c>
      <c r="Q47" s="9" t="s">
        <v>24</v>
      </c>
      <c r="R47" s="4" t="s">
        <v>25</v>
      </c>
    </row>
    <row r="48" spans="1:18" x14ac:dyDescent="0.35">
      <c r="A48" s="63">
        <v>46</v>
      </c>
      <c r="C48">
        <v>46</v>
      </c>
      <c r="D48" t="s">
        <v>148</v>
      </c>
      <c r="E48">
        <v>460</v>
      </c>
      <c r="F48" t="s">
        <v>16</v>
      </c>
      <c r="G48" t="s">
        <v>16</v>
      </c>
      <c r="H48" s="10" t="s">
        <v>567</v>
      </c>
      <c r="I48" s="64" t="s">
        <v>17</v>
      </c>
      <c r="J48" s="67" t="s">
        <v>18</v>
      </c>
      <c r="K48" s="64" t="s">
        <v>19</v>
      </c>
      <c r="L48" s="4" t="s">
        <v>20</v>
      </c>
      <c r="M48" s="2" t="s">
        <v>21</v>
      </c>
      <c r="N48" s="4" t="s">
        <v>22</v>
      </c>
      <c r="O48" s="2" t="s">
        <v>561</v>
      </c>
      <c r="P48" s="4" t="s">
        <v>563</v>
      </c>
      <c r="Q48" s="9" t="s">
        <v>24</v>
      </c>
      <c r="R48" s="4" t="s">
        <v>25</v>
      </c>
    </row>
    <row r="49" spans="1:18" x14ac:dyDescent="0.35">
      <c r="A49" s="63">
        <v>47</v>
      </c>
      <c r="C49">
        <v>47</v>
      </c>
      <c r="D49" t="s">
        <v>149</v>
      </c>
      <c r="E49">
        <v>470</v>
      </c>
      <c r="F49" t="s">
        <v>16</v>
      </c>
      <c r="G49" t="s">
        <v>16</v>
      </c>
      <c r="H49" s="10" t="s">
        <v>567</v>
      </c>
      <c r="I49" s="65" t="s">
        <v>83</v>
      </c>
      <c r="J49" s="66" t="s">
        <v>84</v>
      </c>
      <c r="K49" s="64" t="s">
        <v>85</v>
      </c>
      <c r="L49" s="4" t="s">
        <v>86</v>
      </c>
      <c r="M49" s="2" t="s">
        <v>21</v>
      </c>
      <c r="N49" s="4" t="s">
        <v>22</v>
      </c>
      <c r="O49" s="2" t="s">
        <v>561</v>
      </c>
      <c r="P49" s="4" t="s">
        <v>563</v>
      </c>
      <c r="Q49" s="9" t="s">
        <v>24</v>
      </c>
      <c r="R49" s="4" t="s">
        <v>25</v>
      </c>
    </row>
    <row r="50" spans="1:18" x14ac:dyDescent="0.35">
      <c r="A50" s="63">
        <v>48</v>
      </c>
      <c r="C50">
        <v>48</v>
      </c>
      <c r="D50" t="s">
        <v>150</v>
      </c>
      <c r="E50">
        <v>480</v>
      </c>
      <c r="F50" t="s">
        <v>16</v>
      </c>
      <c r="G50" t="s">
        <v>16</v>
      </c>
      <c r="H50" s="10" t="s">
        <v>567</v>
      </c>
      <c r="I50" s="64" t="s">
        <v>28</v>
      </c>
      <c r="J50" s="67" t="s">
        <v>29</v>
      </c>
      <c r="K50" s="64" t="s">
        <v>30</v>
      </c>
      <c r="L50" s="4" t="s">
        <v>31</v>
      </c>
      <c r="M50" s="2" t="s">
        <v>21</v>
      </c>
      <c r="N50" s="4" t="s">
        <v>22</v>
      </c>
      <c r="O50" s="2" t="s">
        <v>561</v>
      </c>
      <c r="P50" s="4" t="s">
        <v>563</v>
      </c>
      <c r="Q50" s="9" t="s">
        <v>24</v>
      </c>
      <c r="R50" s="4" t="s">
        <v>25</v>
      </c>
    </row>
    <row r="51" spans="1:18" x14ac:dyDescent="0.35">
      <c r="A51" s="63">
        <v>49</v>
      </c>
      <c r="C51">
        <v>49</v>
      </c>
      <c r="D51" t="s">
        <v>151</v>
      </c>
      <c r="E51">
        <v>490</v>
      </c>
      <c r="F51" t="s">
        <v>16</v>
      </c>
      <c r="G51" t="s">
        <v>16</v>
      </c>
      <c r="H51" s="10" t="s">
        <v>567</v>
      </c>
      <c r="I51" s="64" t="s">
        <v>33</v>
      </c>
      <c r="J51" s="67" t="s">
        <v>34</v>
      </c>
      <c r="K51" s="64" t="s">
        <v>35</v>
      </c>
      <c r="L51" s="4" t="s">
        <v>36</v>
      </c>
      <c r="M51" s="2" t="s">
        <v>21</v>
      </c>
      <c r="N51" s="4" t="s">
        <v>22</v>
      </c>
      <c r="O51" s="2" t="s">
        <v>561</v>
      </c>
      <c r="P51" s="4" t="s">
        <v>563</v>
      </c>
      <c r="Q51" s="9" t="s">
        <v>24</v>
      </c>
      <c r="R51" s="4" t="s">
        <v>25</v>
      </c>
    </row>
    <row r="52" spans="1:18" x14ac:dyDescent="0.35">
      <c r="A52" s="63">
        <v>50</v>
      </c>
      <c r="C52">
        <v>50</v>
      </c>
      <c r="D52" t="s">
        <v>152</v>
      </c>
      <c r="E52">
        <v>500</v>
      </c>
      <c r="F52" t="s">
        <v>16</v>
      </c>
      <c r="G52" t="s">
        <v>16</v>
      </c>
      <c r="H52" s="10" t="s">
        <v>567</v>
      </c>
      <c r="I52" s="65" t="s">
        <v>83</v>
      </c>
      <c r="J52" s="66" t="s">
        <v>84</v>
      </c>
      <c r="K52" s="64" t="s">
        <v>85</v>
      </c>
      <c r="L52" s="4" t="s">
        <v>86</v>
      </c>
      <c r="M52" s="2" t="s">
        <v>21</v>
      </c>
      <c r="N52" s="4" t="s">
        <v>22</v>
      </c>
      <c r="O52" s="2" t="s">
        <v>561</v>
      </c>
      <c r="P52" s="4" t="s">
        <v>563</v>
      </c>
      <c r="Q52" s="9" t="s">
        <v>24</v>
      </c>
      <c r="R52" s="4" t="s">
        <v>25</v>
      </c>
    </row>
    <row r="53" spans="1:18" x14ac:dyDescent="0.35">
      <c r="A53" s="63">
        <v>51</v>
      </c>
      <c r="C53">
        <v>51</v>
      </c>
      <c r="D53" t="s">
        <v>153</v>
      </c>
      <c r="E53">
        <v>510</v>
      </c>
      <c r="F53" t="s">
        <v>16</v>
      </c>
      <c r="G53" t="s">
        <v>16</v>
      </c>
      <c r="H53" s="10" t="s">
        <v>567</v>
      </c>
      <c r="I53" s="76" t="s">
        <v>154</v>
      </c>
      <c r="J53" s="67" t="s">
        <v>155</v>
      </c>
      <c r="K53" s="64" t="s">
        <v>156</v>
      </c>
      <c r="L53" s="4" t="s">
        <v>157</v>
      </c>
      <c r="M53" s="2" t="s">
        <v>21</v>
      </c>
      <c r="N53" s="4" t="s">
        <v>22</v>
      </c>
      <c r="O53" s="2" t="s">
        <v>561</v>
      </c>
      <c r="P53" s="4" t="s">
        <v>563</v>
      </c>
      <c r="Q53" s="9" t="s">
        <v>24</v>
      </c>
      <c r="R53" s="4" t="s">
        <v>25</v>
      </c>
    </row>
    <row r="54" spans="1:18" x14ac:dyDescent="0.35">
      <c r="A54" s="63">
        <v>52</v>
      </c>
      <c r="C54">
        <v>52</v>
      </c>
      <c r="D54" t="s">
        <v>158</v>
      </c>
      <c r="E54">
        <v>520</v>
      </c>
      <c r="F54" t="s">
        <v>16</v>
      </c>
      <c r="G54" t="s">
        <v>16</v>
      </c>
      <c r="H54" s="10" t="s">
        <v>567</v>
      </c>
      <c r="I54" s="65" t="s">
        <v>83</v>
      </c>
      <c r="J54" s="66" t="s">
        <v>84</v>
      </c>
      <c r="K54" s="64" t="s">
        <v>85</v>
      </c>
      <c r="L54" s="4" t="s">
        <v>86</v>
      </c>
      <c r="M54" s="2" t="s">
        <v>21</v>
      </c>
      <c r="N54" s="4" t="s">
        <v>22</v>
      </c>
      <c r="O54" s="2" t="s">
        <v>561</v>
      </c>
      <c r="P54" s="4" t="s">
        <v>563</v>
      </c>
      <c r="Q54" s="9" t="s">
        <v>24</v>
      </c>
      <c r="R54" s="4" t="s">
        <v>25</v>
      </c>
    </row>
    <row r="55" spans="1:18" x14ac:dyDescent="0.35">
      <c r="A55" s="63">
        <v>53</v>
      </c>
      <c r="C55">
        <v>53</v>
      </c>
      <c r="D55" t="s">
        <v>159</v>
      </c>
      <c r="E55">
        <v>530</v>
      </c>
      <c r="F55" t="s">
        <v>16</v>
      </c>
      <c r="G55" t="s">
        <v>16</v>
      </c>
      <c r="H55" s="10" t="s">
        <v>567</v>
      </c>
      <c r="I55" s="65" t="s">
        <v>59</v>
      </c>
      <c r="J55" s="67" t="s">
        <v>60</v>
      </c>
      <c r="K55" s="64" t="s">
        <v>61</v>
      </c>
      <c r="L55" s="4" t="s">
        <v>62</v>
      </c>
      <c r="M55" s="2" t="s">
        <v>21</v>
      </c>
      <c r="N55" s="4" t="s">
        <v>22</v>
      </c>
      <c r="O55" s="2" t="s">
        <v>561</v>
      </c>
      <c r="P55" s="4" t="s">
        <v>563</v>
      </c>
      <c r="Q55" s="9" t="s">
        <v>24</v>
      </c>
      <c r="R55" s="4" t="s">
        <v>25</v>
      </c>
    </row>
    <row r="56" spans="1:18" x14ac:dyDescent="0.35">
      <c r="A56" s="63">
        <v>54</v>
      </c>
      <c r="C56">
        <v>54</v>
      </c>
      <c r="D56" t="s">
        <v>160</v>
      </c>
      <c r="E56">
        <v>540</v>
      </c>
      <c r="F56" t="s">
        <v>41</v>
      </c>
      <c r="G56" t="s">
        <v>41</v>
      </c>
      <c r="H56" s="10" t="s">
        <v>567</v>
      </c>
      <c r="I56" s="64" t="s">
        <v>54</v>
      </c>
      <c r="J56" s="67" t="s">
        <v>55</v>
      </c>
      <c r="K56" s="64" t="s">
        <v>56</v>
      </c>
      <c r="L56" s="4" t="s">
        <v>57</v>
      </c>
      <c r="M56" s="2" t="s">
        <v>21</v>
      </c>
      <c r="N56" s="4" t="s">
        <v>22</v>
      </c>
      <c r="O56" s="2" t="s">
        <v>560</v>
      </c>
      <c r="P56" s="4" t="s">
        <v>562</v>
      </c>
      <c r="Q56" s="9" t="s">
        <v>24</v>
      </c>
      <c r="R56" s="4" t="s">
        <v>25</v>
      </c>
    </row>
    <row r="57" spans="1:18" x14ac:dyDescent="0.35">
      <c r="A57" s="63">
        <v>55</v>
      </c>
      <c r="C57">
        <v>55</v>
      </c>
      <c r="D57" t="s">
        <v>161</v>
      </c>
      <c r="E57">
        <v>550</v>
      </c>
      <c r="F57" t="s">
        <v>16</v>
      </c>
      <c r="G57" t="s">
        <v>16</v>
      </c>
      <c r="H57" s="10" t="s">
        <v>567</v>
      </c>
      <c r="I57" s="65" t="s">
        <v>464</v>
      </c>
      <c r="J57" s="4" t="s">
        <v>465</v>
      </c>
      <c r="K57" s="1" t="s">
        <v>81</v>
      </c>
      <c r="L57" s="4" t="s">
        <v>466</v>
      </c>
      <c r="M57" s="2" t="s">
        <v>21</v>
      </c>
      <c r="N57" s="4" t="s">
        <v>22</v>
      </c>
      <c r="O57" s="2" t="s">
        <v>561</v>
      </c>
      <c r="P57" s="4" t="s">
        <v>563</v>
      </c>
      <c r="Q57" s="9" t="s">
        <v>24</v>
      </c>
      <c r="R57" s="4" t="s">
        <v>25</v>
      </c>
    </row>
    <row r="58" spans="1:18" x14ac:dyDescent="0.35">
      <c r="A58" s="63">
        <v>56</v>
      </c>
      <c r="C58">
        <v>56</v>
      </c>
      <c r="D58" t="s">
        <v>162</v>
      </c>
      <c r="E58">
        <v>560</v>
      </c>
      <c r="F58" t="s">
        <v>16</v>
      </c>
      <c r="G58" t="s">
        <v>16</v>
      </c>
      <c r="H58" s="10" t="s">
        <v>567</v>
      </c>
      <c r="I58" s="65" t="s">
        <v>464</v>
      </c>
      <c r="J58" s="4" t="s">
        <v>465</v>
      </c>
      <c r="K58" s="1" t="s">
        <v>81</v>
      </c>
      <c r="L58" s="4" t="s">
        <v>466</v>
      </c>
      <c r="M58" s="2" t="s">
        <v>21</v>
      </c>
      <c r="N58" s="4" t="s">
        <v>22</v>
      </c>
      <c r="O58" s="2" t="s">
        <v>561</v>
      </c>
      <c r="P58" s="4" t="s">
        <v>563</v>
      </c>
      <c r="Q58" s="9" t="s">
        <v>24</v>
      </c>
      <c r="R58" s="4" t="s">
        <v>25</v>
      </c>
    </row>
    <row r="59" spans="1:18" x14ac:dyDescent="0.35">
      <c r="A59" s="63">
        <v>57</v>
      </c>
      <c r="C59">
        <v>57</v>
      </c>
      <c r="D59" t="s">
        <v>163</v>
      </c>
      <c r="E59">
        <v>570</v>
      </c>
      <c r="F59" t="s">
        <v>16</v>
      </c>
      <c r="G59" t="s">
        <v>16</v>
      </c>
      <c r="H59" s="10" t="s">
        <v>567</v>
      </c>
      <c r="I59" s="65" t="s">
        <v>464</v>
      </c>
      <c r="J59" s="4" t="s">
        <v>465</v>
      </c>
      <c r="K59" s="1" t="s">
        <v>81</v>
      </c>
      <c r="L59" s="4" t="s">
        <v>466</v>
      </c>
      <c r="M59" s="2" t="s">
        <v>21</v>
      </c>
      <c r="N59" s="4" t="s">
        <v>22</v>
      </c>
      <c r="O59" s="2" t="s">
        <v>561</v>
      </c>
      <c r="P59" s="4" t="s">
        <v>563</v>
      </c>
      <c r="Q59" s="9" t="s">
        <v>24</v>
      </c>
      <c r="R59" s="4" t="s">
        <v>25</v>
      </c>
    </row>
    <row r="60" spans="1:18" x14ac:dyDescent="0.35">
      <c r="A60" s="63">
        <v>58</v>
      </c>
      <c r="C60">
        <v>58</v>
      </c>
      <c r="D60" t="s">
        <v>164</v>
      </c>
      <c r="E60">
        <v>580</v>
      </c>
      <c r="F60" t="s">
        <v>16</v>
      </c>
      <c r="G60" t="s">
        <v>16</v>
      </c>
      <c r="H60" s="10" t="s">
        <v>567</v>
      </c>
      <c r="I60" s="65" t="s">
        <v>59</v>
      </c>
      <c r="J60" s="67" t="s">
        <v>60</v>
      </c>
      <c r="K60" s="64" t="s">
        <v>61</v>
      </c>
      <c r="L60" s="4" t="s">
        <v>62</v>
      </c>
      <c r="M60" s="2" t="s">
        <v>21</v>
      </c>
      <c r="N60" s="4" t="s">
        <v>22</v>
      </c>
      <c r="O60" s="2" t="s">
        <v>561</v>
      </c>
      <c r="P60" s="4" t="s">
        <v>563</v>
      </c>
      <c r="Q60" s="9" t="s">
        <v>24</v>
      </c>
      <c r="R60" s="4" t="s">
        <v>25</v>
      </c>
    </row>
    <row r="61" spans="1:18" x14ac:dyDescent="0.35">
      <c r="A61" s="63">
        <v>59</v>
      </c>
      <c r="C61">
        <v>59</v>
      </c>
      <c r="D61" t="s">
        <v>165</v>
      </c>
      <c r="E61">
        <v>590</v>
      </c>
      <c r="F61" t="s">
        <v>16</v>
      </c>
      <c r="G61" t="s">
        <v>16</v>
      </c>
      <c r="H61" s="10" t="s">
        <v>567</v>
      </c>
      <c r="I61" s="65" t="s">
        <v>73</v>
      </c>
      <c r="J61" s="67" t="s">
        <v>74</v>
      </c>
      <c r="K61" s="64" t="s">
        <v>75</v>
      </c>
      <c r="L61" s="4" t="s">
        <v>76</v>
      </c>
      <c r="M61" s="2" t="s">
        <v>21</v>
      </c>
      <c r="N61" s="4" t="s">
        <v>22</v>
      </c>
      <c r="O61" s="2" t="s">
        <v>561</v>
      </c>
      <c r="P61" s="4" t="s">
        <v>563</v>
      </c>
      <c r="Q61" s="9" t="s">
        <v>24</v>
      </c>
      <c r="R61" s="4" t="s">
        <v>25</v>
      </c>
    </row>
    <row r="62" spans="1:18" x14ac:dyDescent="0.35">
      <c r="A62" s="63">
        <v>60</v>
      </c>
      <c r="C62">
        <v>60</v>
      </c>
      <c r="D62" t="s">
        <v>166</v>
      </c>
      <c r="E62">
        <v>600</v>
      </c>
      <c r="F62" t="s">
        <v>16</v>
      </c>
      <c r="G62" t="s">
        <v>16</v>
      </c>
      <c r="H62" s="10" t="s">
        <v>567</v>
      </c>
      <c r="I62" s="76" t="s">
        <v>106</v>
      </c>
      <c r="J62" s="4" t="s">
        <v>487</v>
      </c>
      <c r="K62" s="64" t="s">
        <v>167</v>
      </c>
      <c r="L62" s="4" t="s">
        <v>488</v>
      </c>
      <c r="M62" s="2" t="s">
        <v>21</v>
      </c>
      <c r="N62" s="4" t="s">
        <v>22</v>
      </c>
      <c r="O62" s="2" t="s">
        <v>561</v>
      </c>
      <c r="P62" s="4" t="s">
        <v>563</v>
      </c>
      <c r="Q62" s="9" t="s">
        <v>24</v>
      </c>
      <c r="R62" s="4" t="s">
        <v>25</v>
      </c>
    </row>
    <row r="63" spans="1:18" x14ac:dyDescent="0.35">
      <c r="A63" s="63">
        <v>61</v>
      </c>
      <c r="C63">
        <v>61</v>
      </c>
      <c r="D63" t="s">
        <v>168</v>
      </c>
      <c r="E63">
        <v>610</v>
      </c>
      <c r="F63" t="s">
        <v>16</v>
      </c>
      <c r="G63" t="s">
        <v>16</v>
      </c>
      <c r="H63" s="10" t="s">
        <v>567</v>
      </c>
      <c r="I63" s="64" t="s">
        <v>33</v>
      </c>
      <c r="J63" s="67" t="s">
        <v>34</v>
      </c>
      <c r="K63" s="64" t="s">
        <v>35</v>
      </c>
      <c r="L63" s="4" t="s">
        <v>36</v>
      </c>
      <c r="M63" s="2" t="s">
        <v>21</v>
      </c>
      <c r="N63" s="4" t="s">
        <v>22</v>
      </c>
      <c r="O63" s="2" t="s">
        <v>561</v>
      </c>
      <c r="P63" s="4" t="s">
        <v>563</v>
      </c>
      <c r="Q63" s="9" t="s">
        <v>24</v>
      </c>
      <c r="R63" s="4" t="s">
        <v>25</v>
      </c>
    </row>
    <row r="64" spans="1:18" x14ac:dyDescent="0.35">
      <c r="A64" s="63">
        <v>62</v>
      </c>
      <c r="C64">
        <v>62</v>
      </c>
      <c r="D64" t="s">
        <v>169</v>
      </c>
      <c r="E64">
        <v>620</v>
      </c>
      <c r="F64" t="s">
        <v>16</v>
      </c>
      <c r="G64" t="s">
        <v>16</v>
      </c>
      <c r="H64" s="10" t="s">
        <v>567</v>
      </c>
      <c r="I64" s="64" t="s">
        <v>33</v>
      </c>
      <c r="J64" s="67" t="s">
        <v>34</v>
      </c>
      <c r="K64" s="64" t="s">
        <v>35</v>
      </c>
      <c r="L64" s="4" t="s">
        <v>36</v>
      </c>
      <c r="M64" s="2" t="s">
        <v>21</v>
      </c>
      <c r="N64" s="4" t="s">
        <v>22</v>
      </c>
      <c r="O64" s="2" t="s">
        <v>561</v>
      </c>
      <c r="P64" s="4" t="s">
        <v>563</v>
      </c>
      <c r="Q64" s="9" t="s">
        <v>24</v>
      </c>
      <c r="R64" s="4" t="s">
        <v>25</v>
      </c>
    </row>
    <row r="65" spans="1:18" x14ac:dyDescent="0.35">
      <c r="A65" s="63">
        <v>63</v>
      </c>
      <c r="C65">
        <v>63</v>
      </c>
      <c r="D65" t="s">
        <v>170</v>
      </c>
      <c r="E65">
        <v>630</v>
      </c>
      <c r="F65" t="s">
        <v>16</v>
      </c>
      <c r="G65" t="s">
        <v>16</v>
      </c>
      <c r="H65" s="10" t="s">
        <v>567</v>
      </c>
      <c r="I65" s="76" t="s">
        <v>106</v>
      </c>
      <c r="J65" s="4" t="s">
        <v>487</v>
      </c>
      <c r="K65" s="64" t="s">
        <v>167</v>
      </c>
      <c r="L65" s="4" t="s">
        <v>488</v>
      </c>
      <c r="M65" s="2" t="s">
        <v>21</v>
      </c>
      <c r="N65" s="4" t="s">
        <v>22</v>
      </c>
      <c r="O65" s="2" t="s">
        <v>561</v>
      </c>
      <c r="P65" s="4" t="s">
        <v>563</v>
      </c>
      <c r="Q65" s="9" t="s">
        <v>24</v>
      </c>
      <c r="R65" s="4" t="s">
        <v>25</v>
      </c>
    </row>
    <row r="66" spans="1:18" x14ac:dyDescent="0.35">
      <c r="A66" s="63">
        <v>64</v>
      </c>
      <c r="C66">
        <v>64</v>
      </c>
      <c r="D66" t="s">
        <v>171</v>
      </c>
      <c r="E66">
        <v>640</v>
      </c>
      <c r="F66" t="s">
        <v>16</v>
      </c>
      <c r="G66" t="s">
        <v>16</v>
      </c>
      <c r="H66" s="10" t="s">
        <v>567</v>
      </c>
      <c r="I66" s="64" t="s">
        <v>33</v>
      </c>
      <c r="J66" s="67" t="s">
        <v>34</v>
      </c>
      <c r="K66" s="64" t="s">
        <v>35</v>
      </c>
      <c r="L66" s="4" t="s">
        <v>36</v>
      </c>
      <c r="M66" s="2" t="s">
        <v>21</v>
      </c>
      <c r="N66" s="4" t="s">
        <v>22</v>
      </c>
      <c r="O66" s="2" t="s">
        <v>561</v>
      </c>
      <c r="P66" s="4" t="s">
        <v>563</v>
      </c>
      <c r="Q66" s="9" t="s">
        <v>24</v>
      </c>
      <c r="R66" s="4" t="s">
        <v>25</v>
      </c>
    </row>
    <row r="67" spans="1:18" x14ac:dyDescent="0.35">
      <c r="A67" s="63">
        <v>65</v>
      </c>
      <c r="C67">
        <v>65</v>
      </c>
      <c r="D67" t="s">
        <v>172</v>
      </c>
      <c r="E67">
        <v>650</v>
      </c>
      <c r="F67" t="s">
        <v>16</v>
      </c>
      <c r="G67" t="s">
        <v>16</v>
      </c>
      <c r="H67" s="10" t="s">
        <v>567</v>
      </c>
      <c r="I67" s="65" t="s">
        <v>464</v>
      </c>
      <c r="J67" s="4" t="s">
        <v>465</v>
      </c>
      <c r="K67" s="1" t="s">
        <v>81</v>
      </c>
      <c r="L67" s="4" t="s">
        <v>466</v>
      </c>
      <c r="M67" s="2" t="s">
        <v>21</v>
      </c>
      <c r="N67" s="4" t="s">
        <v>22</v>
      </c>
      <c r="O67" s="2" t="s">
        <v>561</v>
      </c>
      <c r="P67" s="4" t="s">
        <v>563</v>
      </c>
      <c r="Q67" s="9" t="s">
        <v>24</v>
      </c>
      <c r="R67" s="4" t="s">
        <v>25</v>
      </c>
    </row>
    <row r="68" spans="1:18" x14ac:dyDescent="0.35">
      <c r="A68" s="63">
        <v>66</v>
      </c>
      <c r="C68">
        <v>66</v>
      </c>
      <c r="D68" t="s">
        <v>173</v>
      </c>
      <c r="E68">
        <v>660</v>
      </c>
      <c r="F68" t="s">
        <v>338</v>
      </c>
      <c r="G68" t="s">
        <v>342</v>
      </c>
      <c r="H68" s="10" t="s">
        <v>568</v>
      </c>
      <c r="I68" s="76" t="s">
        <v>174</v>
      </c>
      <c r="J68" s="67" t="s">
        <v>175</v>
      </c>
      <c r="K68" s="76" t="s">
        <v>174</v>
      </c>
      <c r="L68" s="4" t="s">
        <v>175</v>
      </c>
      <c r="M68" s="2" t="s">
        <v>21</v>
      </c>
      <c r="N68" s="4" t="s">
        <v>22</v>
      </c>
      <c r="O68" s="2" t="s">
        <v>561</v>
      </c>
      <c r="P68" s="4" t="s">
        <v>563</v>
      </c>
      <c r="Q68" s="9" t="s">
        <v>24</v>
      </c>
      <c r="R68" s="4" t="s">
        <v>25</v>
      </c>
    </row>
    <row r="69" spans="1:18" x14ac:dyDescent="0.35">
      <c r="A69" s="63">
        <v>67</v>
      </c>
      <c r="C69">
        <v>67</v>
      </c>
      <c r="D69" t="s">
        <v>176</v>
      </c>
      <c r="E69">
        <v>670</v>
      </c>
      <c r="F69" t="s">
        <v>16</v>
      </c>
      <c r="G69" t="s">
        <v>16</v>
      </c>
      <c r="H69" s="10" t="s">
        <v>567</v>
      </c>
      <c r="I69" s="65" t="s">
        <v>83</v>
      </c>
      <c r="J69" s="66" t="s">
        <v>84</v>
      </c>
      <c r="K69" s="64" t="s">
        <v>85</v>
      </c>
      <c r="L69" s="4" t="s">
        <v>86</v>
      </c>
      <c r="M69" s="2" t="s">
        <v>21</v>
      </c>
      <c r="N69" s="4" t="s">
        <v>22</v>
      </c>
      <c r="O69" s="2" t="s">
        <v>561</v>
      </c>
      <c r="P69" s="4" t="s">
        <v>563</v>
      </c>
      <c r="Q69" s="9" t="s">
        <v>24</v>
      </c>
      <c r="R69" s="4" t="s">
        <v>25</v>
      </c>
    </row>
    <row r="70" spans="1:18" x14ac:dyDescent="0.35">
      <c r="A70" s="63">
        <v>68</v>
      </c>
      <c r="C70">
        <v>68</v>
      </c>
      <c r="D70" t="s">
        <v>177</v>
      </c>
      <c r="F70" t="s">
        <v>16</v>
      </c>
      <c r="G70" t="s">
        <v>16</v>
      </c>
      <c r="H70" s="10" t="s">
        <v>567</v>
      </c>
      <c r="I70" s="64" t="s">
        <v>17</v>
      </c>
      <c r="J70" s="67" t="s">
        <v>18</v>
      </c>
      <c r="K70" s="64" t="s">
        <v>19</v>
      </c>
      <c r="L70" s="4" t="s">
        <v>20</v>
      </c>
      <c r="M70" s="2" t="s">
        <v>21</v>
      </c>
      <c r="N70" s="4" t="s">
        <v>22</v>
      </c>
      <c r="O70" s="2" t="s">
        <v>561</v>
      </c>
      <c r="P70" s="4" t="s">
        <v>563</v>
      </c>
      <c r="Q70" s="9" t="s">
        <v>24</v>
      </c>
      <c r="R70" s="4" t="s">
        <v>25</v>
      </c>
    </row>
    <row r="71" spans="1:18" x14ac:dyDescent="0.35">
      <c r="A71" s="63">
        <v>69</v>
      </c>
      <c r="C71">
        <v>69</v>
      </c>
      <c r="D71" t="s">
        <v>178</v>
      </c>
      <c r="F71" t="s">
        <v>16</v>
      </c>
      <c r="G71" t="s">
        <v>16</v>
      </c>
      <c r="H71" s="10" t="s">
        <v>567</v>
      </c>
      <c r="I71" s="64" t="s">
        <v>17</v>
      </c>
      <c r="J71" s="67" t="s">
        <v>18</v>
      </c>
      <c r="K71" s="64" t="s">
        <v>19</v>
      </c>
      <c r="L71" s="4" t="s">
        <v>20</v>
      </c>
      <c r="M71" s="2" t="s">
        <v>21</v>
      </c>
      <c r="N71" s="4" t="s">
        <v>22</v>
      </c>
      <c r="O71" s="2" t="s">
        <v>561</v>
      </c>
      <c r="P71" s="4" t="s">
        <v>563</v>
      </c>
      <c r="Q71" s="9" t="s">
        <v>24</v>
      </c>
      <c r="R71" s="4" t="s">
        <v>25</v>
      </c>
    </row>
    <row r="72" spans="1:18" x14ac:dyDescent="0.35">
      <c r="A72" s="63">
        <v>70</v>
      </c>
      <c r="C72">
        <v>70</v>
      </c>
      <c r="D72" t="s">
        <v>179</v>
      </c>
      <c r="F72" t="s">
        <v>16</v>
      </c>
      <c r="G72" t="s">
        <v>16</v>
      </c>
      <c r="H72" s="10" t="s">
        <v>567</v>
      </c>
      <c r="I72" s="64" t="s">
        <v>17</v>
      </c>
      <c r="J72" s="67" t="s">
        <v>18</v>
      </c>
      <c r="K72" s="64" t="s">
        <v>19</v>
      </c>
      <c r="L72" s="4" t="s">
        <v>20</v>
      </c>
      <c r="M72" s="2" t="s">
        <v>21</v>
      </c>
      <c r="N72" s="4" t="s">
        <v>22</v>
      </c>
      <c r="O72" s="2" t="s">
        <v>561</v>
      </c>
      <c r="P72" s="4" t="s">
        <v>563</v>
      </c>
      <c r="Q72" s="9" t="s">
        <v>24</v>
      </c>
      <c r="R72" s="4" t="s">
        <v>25</v>
      </c>
    </row>
    <row r="73" spans="1:18" ht="15.5" customHeight="1" x14ac:dyDescent="0.35">
      <c r="A73" s="63">
        <v>71</v>
      </c>
      <c r="C73">
        <v>71</v>
      </c>
      <c r="D73" s="77" t="s">
        <v>468</v>
      </c>
      <c r="F73" t="s">
        <v>16</v>
      </c>
      <c r="G73" t="s">
        <v>16</v>
      </c>
      <c r="H73" s="10" t="s">
        <v>567</v>
      </c>
      <c r="I73" s="76" t="s">
        <v>106</v>
      </c>
      <c r="J73" s="4" t="s">
        <v>487</v>
      </c>
      <c r="K73" s="64" t="s">
        <v>167</v>
      </c>
      <c r="L73" s="4" t="s">
        <v>488</v>
      </c>
      <c r="M73" s="2" t="s">
        <v>21</v>
      </c>
      <c r="N73" s="4" t="s">
        <v>22</v>
      </c>
      <c r="O73" s="2" t="s">
        <v>561</v>
      </c>
      <c r="P73" s="4" t="s">
        <v>563</v>
      </c>
      <c r="Q73" s="9" t="s">
        <v>24</v>
      </c>
      <c r="R73" s="4" t="s">
        <v>25</v>
      </c>
    </row>
    <row r="74" spans="1:18" x14ac:dyDescent="0.35">
      <c r="A74" s="63">
        <v>72</v>
      </c>
      <c r="C74">
        <v>72</v>
      </c>
      <c r="D74" s="77" t="s">
        <v>469</v>
      </c>
      <c r="F74" t="s">
        <v>16</v>
      </c>
      <c r="G74" t="s">
        <v>16</v>
      </c>
      <c r="H74" s="10" t="s">
        <v>567</v>
      </c>
      <c r="I74" s="76" t="s">
        <v>106</v>
      </c>
      <c r="J74" s="4" t="s">
        <v>487</v>
      </c>
      <c r="K74" s="64" t="s">
        <v>167</v>
      </c>
      <c r="L74" s="4" t="s">
        <v>488</v>
      </c>
      <c r="M74" s="2" t="s">
        <v>21</v>
      </c>
      <c r="N74" s="4" t="s">
        <v>22</v>
      </c>
      <c r="O74" s="2" t="s">
        <v>561</v>
      </c>
      <c r="P74" s="4" t="s">
        <v>563</v>
      </c>
      <c r="Q74" s="9" t="s">
        <v>24</v>
      </c>
      <c r="R74" s="4" t="s">
        <v>25</v>
      </c>
    </row>
    <row r="75" spans="1:18" x14ac:dyDescent="0.35">
      <c r="A75" s="63">
        <v>73</v>
      </c>
      <c r="C75">
        <v>73</v>
      </c>
      <c r="D75" s="77" t="s">
        <v>470</v>
      </c>
      <c r="F75" t="s">
        <v>338</v>
      </c>
      <c r="G75" t="s">
        <v>339</v>
      </c>
      <c r="H75" s="10" t="s">
        <v>568</v>
      </c>
      <c r="I75" s="76" t="s">
        <v>485</v>
      </c>
      <c r="J75" s="4" t="s">
        <v>486</v>
      </c>
      <c r="K75" s="2" t="s">
        <v>485</v>
      </c>
      <c r="L75" s="4" t="s">
        <v>486</v>
      </c>
      <c r="M75" s="2" t="s">
        <v>21</v>
      </c>
      <c r="N75" s="4" t="s">
        <v>22</v>
      </c>
      <c r="O75" s="2" t="s">
        <v>561</v>
      </c>
      <c r="P75" s="4" t="s">
        <v>563</v>
      </c>
      <c r="Q75" s="9" t="s">
        <v>24</v>
      </c>
      <c r="R75" s="4" t="s">
        <v>25</v>
      </c>
    </row>
    <row r="76" spans="1:18" x14ac:dyDescent="0.35">
      <c r="A76" s="63">
        <v>74</v>
      </c>
      <c r="C76">
        <v>74</v>
      </c>
      <c r="D76" s="77" t="s">
        <v>471</v>
      </c>
      <c r="F76" t="s">
        <v>16</v>
      </c>
      <c r="G76" t="s">
        <v>16</v>
      </c>
      <c r="H76" s="10" t="s">
        <v>567</v>
      </c>
      <c r="I76" s="76" t="s">
        <v>154</v>
      </c>
      <c r="J76" s="67" t="s">
        <v>155</v>
      </c>
      <c r="K76" s="64" t="s">
        <v>156</v>
      </c>
      <c r="L76" s="4" t="s">
        <v>157</v>
      </c>
      <c r="M76" s="2" t="s">
        <v>21</v>
      </c>
      <c r="N76" s="4" t="s">
        <v>22</v>
      </c>
      <c r="O76" s="2" t="s">
        <v>561</v>
      </c>
      <c r="P76" s="4" t="s">
        <v>563</v>
      </c>
      <c r="Q76" s="9" t="s">
        <v>24</v>
      </c>
      <c r="R76" s="4" t="s">
        <v>25</v>
      </c>
    </row>
    <row r="77" spans="1:18" x14ac:dyDescent="0.35">
      <c r="A77" s="63">
        <v>75</v>
      </c>
      <c r="C77">
        <v>75</v>
      </c>
      <c r="D77" s="77" t="s">
        <v>472</v>
      </c>
      <c r="F77" t="s">
        <v>16</v>
      </c>
      <c r="G77" t="s">
        <v>16</v>
      </c>
      <c r="H77" s="10" t="s">
        <v>568</v>
      </c>
      <c r="I77" s="65" t="s">
        <v>464</v>
      </c>
      <c r="J77" s="4" t="s">
        <v>465</v>
      </c>
      <c r="K77" s="1" t="s">
        <v>81</v>
      </c>
      <c r="L77" s="4" t="s">
        <v>466</v>
      </c>
      <c r="M77" s="2" t="s">
        <v>21</v>
      </c>
      <c r="N77" s="4" t="s">
        <v>22</v>
      </c>
      <c r="O77" s="2" t="s">
        <v>561</v>
      </c>
      <c r="P77" s="4" t="s">
        <v>563</v>
      </c>
      <c r="Q77" s="9" t="s">
        <v>24</v>
      </c>
      <c r="R77" s="4" t="s">
        <v>25</v>
      </c>
    </row>
    <row r="78" spans="1:18" x14ac:dyDescent="0.35">
      <c r="A78" s="63">
        <v>76</v>
      </c>
      <c r="C78">
        <v>76</v>
      </c>
      <c r="D78" s="77" t="s">
        <v>473</v>
      </c>
      <c r="F78" t="s">
        <v>41</v>
      </c>
      <c r="G78" t="s">
        <v>41</v>
      </c>
      <c r="H78" s="10" t="s">
        <v>567</v>
      </c>
      <c r="I78" s="64" t="s">
        <v>42</v>
      </c>
      <c r="J78" s="4" t="s">
        <v>43</v>
      </c>
      <c r="K78" s="1" t="s">
        <v>44</v>
      </c>
      <c r="L78" s="4" t="s">
        <v>45</v>
      </c>
      <c r="M78" s="2" t="s">
        <v>21</v>
      </c>
      <c r="N78" s="4" t="s">
        <v>22</v>
      </c>
      <c r="O78" s="2" t="s">
        <v>560</v>
      </c>
      <c r="P78" s="4" t="s">
        <v>562</v>
      </c>
      <c r="Q78" s="9" t="s">
        <v>24</v>
      </c>
      <c r="R78" s="4" t="s">
        <v>25</v>
      </c>
    </row>
    <row r="79" spans="1:18" x14ac:dyDescent="0.35">
      <c r="A79" s="63">
        <v>77</v>
      </c>
      <c r="C79">
        <v>77</v>
      </c>
      <c r="D79" s="77" t="s">
        <v>474</v>
      </c>
      <c r="F79" t="s">
        <v>41</v>
      </c>
      <c r="G79" t="s">
        <v>41</v>
      </c>
      <c r="H79" s="10" t="s">
        <v>567</v>
      </c>
      <c r="I79" s="64" t="s">
        <v>49</v>
      </c>
      <c r="J79" s="4" t="s">
        <v>50</v>
      </c>
      <c r="K79" s="1" t="s">
        <v>51</v>
      </c>
      <c r="L79" s="4" t="s">
        <v>52</v>
      </c>
      <c r="M79" s="2" t="s">
        <v>21</v>
      </c>
      <c r="N79" s="4" t="s">
        <v>22</v>
      </c>
      <c r="O79" s="2" t="s">
        <v>560</v>
      </c>
      <c r="P79" s="4" t="s">
        <v>562</v>
      </c>
      <c r="Q79" s="9" t="s">
        <v>24</v>
      </c>
      <c r="R79" s="4" t="s">
        <v>25</v>
      </c>
    </row>
    <row r="80" spans="1:18" x14ac:dyDescent="0.35">
      <c r="A80" s="63">
        <v>78</v>
      </c>
      <c r="C80">
        <v>78</v>
      </c>
      <c r="D80" s="77" t="s">
        <v>475</v>
      </c>
      <c r="F80" t="s">
        <v>41</v>
      </c>
      <c r="G80" t="s">
        <v>41</v>
      </c>
      <c r="H80" s="10" t="s">
        <v>567</v>
      </c>
      <c r="I80" s="64" t="s">
        <v>49</v>
      </c>
      <c r="J80" s="4" t="s">
        <v>50</v>
      </c>
      <c r="K80" s="1" t="s">
        <v>51</v>
      </c>
      <c r="L80" s="4" t="s">
        <v>52</v>
      </c>
      <c r="M80" s="2" t="s">
        <v>21</v>
      </c>
      <c r="N80" s="4" t="s">
        <v>22</v>
      </c>
      <c r="O80" s="2" t="s">
        <v>560</v>
      </c>
      <c r="P80" s="4" t="s">
        <v>562</v>
      </c>
      <c r="Q80" s="9" t="s">
        <v>24</v>
      </c>
      <c r="R80" s="4" t="s">
        <v>25</v>
      </c>
    </row>
    <row r="81" spans="1:18" x14ac:dyDescent="0.35">
      <c r="A81" s="63">
        <v>79</v>
      </c>
      <c r="C81">
        <v>79</v>
      </c>
      <c r="D81" s="77" t="s">
        <v>476</v>
      </c>
      <c r="F81" t="s">
        <v>41</v>
      </c>
      <c r="G81" t="s">
        <v>41</v>
      </c>
      <c r="H81" s="10" t="s">
        <v>567</v>
      </c>
      <c r="I81" s="64" t="s">
        <v>49</v>
      </c>
      <c r="J81" s="4" t="s">
        <v>50</v>
      </c>
      <c r="K81" s="1" t="s">
        <v>51</v>
      </c>
      <c r="L81" s="4" t="s">
        <v>52</v>
      </c>
      <c r="M81" s="2" t="s">
        <v>21</v>
      </c>
      <c r="N81" s="4" t="s">
        <v>22</v>
      </c>
      <c r="O81" s="2" t="s">
        <v>560</v>
      </c>
      <c r="P81" s="4" t="s">
        <v>562</v>
      </c>
      <c r="Q81" s="9" t="s">
        <v>24</v>
      </c>
      <c r="R81" s="4" t="s">
        <v>25</v>
      </c>
    </row>
    <row r="82" spans="1:18" x14ac:dyDescent="0.35">
      <c r="A82" s="63">
        <v>80</v>
      </c>
      <c r="C82">
        <v>80</v>
      </c>
      <c r="D82" s="77" t="s">
        <v>477</v>
      </c>
      <c r="F82" t="s">
        <v>41</v>
      </c>
      <c r="G82" t="s">
        <v>41</v>
      </c>
      <c r="H82" s="10" t="s">
        <v>567</v>
      </c>
      <c r="I82" s="64" t="s">
        <v>49</v>
      </c>
      <c r="J82" s="4" t="s">
        <v>50</v>
      </c>
      <c r="K82" s="1" t="s">
        <v>51</v>
      </c>
      <c r="L82" s="4" t="s">
        <v>52</v>
      </c>
      <c r="M82" s="2" t="s">
        <v>21</v>
      </c>
      <c r="N82" s="4" t="s">
        <v>22</v>
      </c>
      <c r="O82" s="2" t="s">
        <v>560</v>
      </c>
      <c r="P82" s="4" t="s">
        <v>562</v>
      </c>
      <c r="Q82" s="9" t="s">
        <v>24</v>
      </c>
      <c r="R82" s="4" t="s">
        <v>25</v>
      </c>
    </row>
    <row r="83" spans="1:18" x14ac:dyDescent="0.35">
      <c r="A83" s="63">
        <v>81</v>
      </c>
      <c r="C83">
        <v>81</v>
      </c>
      <c r="D83" s="77" t="s">
        <v>478</v>
      </c>
      <c r="F83" t="s">
        <v>41</v>
      </c>
      <c r="G83" t="s">
        <v>41</v>
      </c>
      <c r="H83" s="10" t="s">
        <v>567</v>
      </c>
      <c r="I83" s="64" t="s">
        <v>54</v>
      </c>
      <c r="J83" s="4" t="s">
        <v>55</v>
      </c>
      <c r="K83" s="1" t="s">
        <v>56</v>
      </c>
      <c r="L83" s="4" t="s">
        <v>57</v>
      </c>
      <c r="M83" s="2" t="s">
        <v>21</v>
      </c>
      <c r="N83" s="4" t="s">
        <v>22</v>
      </c>
      <c r="O83" s="2" t="s">
        <v>560</v>
      </c>
      <c r="P83" s="4" t="s">
        <v>562</v>
      </c>
      <c r="Q83" s="9" t="s">
        <v>24</v>
      </c>
      <c r="R83" s="4" t="s">
        <v>25</v>
      </c>
    </row>
    <row r="84" spans="1:18" x14ac:dyDescent="0.35">
      <c r="A84" s="63">
        <v>82</v>
      </c>
      <c r="C84">
        <v>82</v>
      </c>
      <c r="D84" s="77" t="s">
        <v>479</v>
      </c>
      <c r="F84" t="s">
        <v>41</v>
      </c>
      <c r="G84" t="s">
        <v>41</v>
      </c>
      <c r="H84" s="10" t="s">
        <v>567</v>
      </c>
      <c r="I84" s="64" t="s">
        <v>54</v>
      </c>
      <c r="J84" s="4" t="s">
        <v>55</v>
      </c>
      <c r="K84" s="1" t="s">
        <v>56</v>
      </c>
      <c r="L84" s="4" t="s">
        <v>57</v>
      </c>
      <c r="M84" s="2" t="s">
        <v>21</v>
      </c>
      <c r="N84" s="4" t="s">
        <v>22</v>
      </c>
      <c r="O84" s="2" t="s">
        <v>560</v>
      </c>
      <c r="P84" s="4" t="s">
        <v>562</v>
      </c>
      <c r="Q84" s="9" t="s">
        <v>24</v>
      </c>
      <c r="R84" s="4" t="s">
        <v>25</v>
      </c>
    </row>
    <row r="85" spans="1:18" x14ac:dyDescent="0.35">
      <c r="A85" s="63">
        <v>83</v>
      </c>
      <c r="C85">
        <v>83</v>
      </c>
      <c r="D85" s="77" t="s">
        <v>480</v>
      </c>
      <c r="F85" t="s">
        <v>41</v>
      </c>
      <c r="G85" t="s">
        <v>41</v>
      </c>
      <c r="H85" s="10" t="s">
        <v>567</v>
      </c>
      <c r="I85" s="64" t="s">
        <v>42</v>
      </c>
      <c r="J85" s="4" t="s">
        <v>43</v>
      </c>
      <c r="K85" s="1" t="s">
        <v>44</v>
      </c>
      <c r="L85" s="4" t="s">
        <v>45</v>
      </c>
      <c r="M85" s="2" t="s">
        <v>21</v>
      </c>
      <c r="N85" s="4" t="s">
        <v>22</v>
      </c>
      <c r="O85" s="2" t="s">
        <v>560</v>
      </c>
      <c r="P85" s="4" t="s">
        <v>562</v>
      </c>
      <c r="Q85" s="9" t="s">
        <v>24</v>
      </c>
      <c r="R85" s="4" t="s">
        <v>25</v>
      </c>
    </row>
    <row r="86" spans="1:18" x14ac:dyDescent="0.35">
      <c r="A86" s="63">
        <v>84</v>
      </c>
      <c r="C86">
        <v>84</v>
      </c>
      <c r="D86" s="77" t="s">
        <v>481</v>
      </c>
      <c r="F86" t="s">
        <v>16</v>
      </c>
      <c r="G86" t="s">
        <v>16</v>
      </c>
      <c r="H86" s="10" t="s">
        <v>567</v>
      </c>
      <c r="I86" s="64" t="s">
        <v>17</v>
      </c>
      <c r="J86" s="67" t="s">
        <v>18</v>
      </c>
      <c r="K86" s="64" t="s">
        <v>19</v>
      </c>
      <c r="L86" s="4" t="s">
        <v>20</v>
      </c>
      <c r="M86" s="2" t="s">
        <v>21</v>
      </c>
      <c r="N86" s="4" t="s">
        <v>22</v>
      </c>
      <c r="O86" s="2" t="s">
        <v>561</v>
      </c>
      <c r="P86" s="4" t="s">
        <v>563</v>
      </c>
      <c r="Q86" s="9" t="s">
        <v>24</v>
      </c>
      <c r="R86" s="4" t="s">
        <v>25</v>
      </c>
    </row>
    <row r="87" spans="1:18" x14ac:dyDescent="0.35">
      <c r="A87" s="63">
        <v>85</v>
      </c>
      <c r="C87">
        <v>85</v>
      </c>
      <c r="D87" s="77" t="s">
        <v>482</v>
      </c>
      <c r="F87" t="s">
        <v>16</v>
      </c>
      <c r="G87" t="s">
        <v>16</v>
      </c>
      <c r="H87" s="10" t="s">
        <v>567</v>
      </c>
      <c r="I87" s="64" t="s">
        <v>17</v>
      </c>
      <c r="J87" s="67" t="s">
        <v>18</v>
      </c>
      <c r="K87" s="64" t="s">
        <v>19</v>
      </c>
      <c r="L87" s="4" t="s">
        <v>20</v>
      </c>
      <c r="M87" s="2" t="s">
        <v>21</v>
      </c>
      <c r="N87" s="4" t="s">
        <v>22</v>
      </c>
      <c r="O87" s="2" t="s">
        <v>561</v>
      </c>
      <c r="P87" s="4" t="s">
        <v>563</v>
      </c>
      <c r="Q87" s="9" t="s">
        <v>24</v>
      </c>
      <c r="R87" s="4" t="s">
        <v>25</v>
      </c>
    </row>
    <row r="88" spans="1:18" x14ac:dyDescent="0.35">
      <c r="A88" s="63">
        <v>86</v>
      </c>
      <c r="C88">
        <v>86</v>
      </c>
      <c r="D88" s="77" t="s">
        <v>483</v>
      </c>
      <c r="F88" t="s">
        <v>16</v>
      </c>
      <c r="G88" t="s">
        <v>16</v>
      </c>
      <c r="H88" s="10" t="s">
        <v>567</v>
      </c>
      <c r="I88" s="64" t="s">
        <v>17</v>
      </c>
      <c r="J88" s="67" t="s">
        <v>18</v>
      </c>
      <c r="K88" s="64" t="s">
        <v>19</v>
      </c>
      <c r="L88" s="4" t="s">
        <v>20</v>
      </c>
      <c r="M88" s="2" t="s">
        <v>21</v>
      </c>
      <c r="N88" s="4" t="s">
        <v>22</v>
      </c>
      <c r="O88" s="2" t="s">
        <v>561</v>
      </c>
      <c r="P88" s="4" t="s">
        <v>563</v>
      </c>
      <c r="Q88" s="9" t="s">
        <v>24</v>
      </c>
      <c r="R88" s="4" t="s">
        <v>25</v>
      </c>
    </row>
    <row r="89" spans="1:18" x14ac:dyDescent="0.35">
      <c r="A89" s="63">
        <v>87</v>
      </c>
      <c r="C89">
        <v>87</v>
      </c>
      <c r="D89" s="77" t="s">
        <v>484</v>
      </c>
      <c r="F89" t="s">
        <v>16</v>
      </c>
      <c r="G89" t="s">
        <v>16</v>
      </c>
      <c r="H89" s="10" t="s">
        <v>567</v>
      </c>
      <c r="I89" s="76" t="s">
        <v>106</v>
      </c>
      <c r="J89" s="4" t="s">
        <v>487</v>
      </c>
      <c r="K89" s="1" t="s">
        <v>167</v>
      </c>
      <c r="L89" s="4" t="s">
        <v>488</v>
      </c>
      <c r="M89" s="2" t="s">
        <v>21</v>
      </c>
      <c r="N89" s="4" t="s">
        <v>22</v>
      </c>
      <c r="O89" s="2" t="s">
        <v>561</v>
      </c>
      <c r="P89" s="4" t="s">
        <v>563</v>
      </c>
      <c r="Q89" s="9" t="s">
        <v>24</v>
      </c>
      <c r="R89" s="4" t="s">
        <v>25</v>
      </c>
    </row>
    <row r="90" spans="1:18" s="47" customFormat="1" x14ac:dyDescent="0.35">
      <c r="A90" s="63">
        <v>88</v>
      </c>
      <c r="D90" s="47" t="s">
        <v>526</v>
      </c>
      <c r="F90" s="47" t="s">
        <v>338</v>
      </c>
      <c r="G90" s="47" t="s">
        <v>524</v>
      </c>
      <c r="H90" s="4" t="s">
        <v>567</v>
      </c>
      <c r="I90" s="76" t="s">
        <v>503</v>
      </c>
      <c r="J90" s="4" t="s">
        <v>523</v>
      </c>
      <c r="K90" s="76" t="s">
        <v>503</v>
      </c>
      <c r="L90" s="4" t="s">
        <v>523</v>
      </c>
      <c r="M90" s="2" t="s">
        <v>21</v>
      </c>
      <c r="N90" s="4" t="s">
        <v>22</v>
      </c>
      <c r="O90" s="2" t="s">
        <v>561</v>
      </c>
      <c r="P90" s="4" t="s">
        <v>563</v>
      </c>
      <c r="Q90" s="9" t="s">
        <v>24</v>
      </c>
      <c r="R90" s="4" t="s">
        <v>25</v>
      </c>
    </row>
    <row r="91" spans="1:18" s="47" customFormat="1" x14ac:dyDescent="0.35">
      <c r="A91" s="63">
        <v>89</v>
      </c>
      <c r="D91" s="47" t="s">
        <v>527</v>
      </c>
      <c r="F91" s="47" t="s">
        <v>338</v>
      </c>
      <c r="G91" s="47" t="s">
        <v>524</v>
      </c>
      <c r="H91" s="4" t="s">
        <v>567</v>
      </c>
      <c r="I91" s="76" t="s">
        <v>503</v>
      </c>
      <c r="J91" s="4" t="s">
        <v>523</v>
      </c>
      <c r="K91" s="76" t="s">
        <v>503</v>
      </c>
      <c r="L91" s="4" t="s">
        <v>523</v>
      </c>
      <c r="M91" s="2" t="s">
        <v>21</v>
      </c>
      <c r="N91" s="4" t="s">
        <v>22</v>
      </c>
      <c r="O91" s="2" t="s">
        <v>561</v>
      </c>
      <c r="P91" s="4" t="s">
        <v>563</v>
      </c>
      <c r="Q91" s="9" t="s">
        <v>24</v>
      </c>
      <c r="R91" s="4" t="s">
        <v>25</v>
      </c>
    </row>
    <row r="92" spans="1:18" s="47" customFormat="1" x14ac:dyDescent="0.35">
      <c r="A92" s="63">
        <v>90</v>
      </c>
      <c r="D92" s="47" t="s">
        <v>528</v>
      </c>
      <c r="F92" s="47" t="s">
        <v>338</v>
      </c>
      <c r="G92" s="47" t="s">
        <v>524</v>
      </c>
      <c r="H92" s="4" t="s">
        <v>567</v>
      </c>
      <c r="I92" s="76" t="s">
        <v>503</v>
      </c>
      <c r="J92" s="4" t="s">
        <v>523</v>
      </c>
      <c r="K92" s="76" t="s">
        <v>503</v>
      </c>
      <c r="L92" s="4" t="s">
        <v>523</v>
      </c>
      <c r="M92" s="2" t="s">
        <v>21</v>
      </c>
      <c r="N92" s="4" t="s">
        <v>22</v>
      </c>
      <c r="O92" s="2" t="s">
        <v>561</v>
      </c>
      <c r="P92" s="4" t="s">
        <v>563</v>
      </c>
      <c r="Q92" s="9" t="s">
        <v>24</v>
      </c>
      <c r="R92" s="4" t="s">
        <v>25</v>
      </c>
    </row>
    <row r="93" spans="1:18" s="47" customFormat="1" x14ac:dyDescent="0.35">
      <c r="A93" s="63">
        <v>91</v>
      </c>
      <c r="D93" s="47" t="s">
        <v>529</v>
      </c>
      <c r="F93" s="47" t="s">
        <v>338</v>
      </c>
      <c r="G93" s="47" t="s">
        <v>524</v>
      </c>
      <c r="H93" s="4" t="s">
        <v>567</v>
      </c>
      <c r="I93" s="76" t="s">
        <v>503</v>
      </c>
      <c r="J93" s="4" t="s">
        <v>523</v>
      </c>
      <c r="K93" s="76" t="s">
        <v>503</v>
      </c>
      <c r="L93" s="4" t="s">
        <v>523</v>
      </c>
      <c r="M93" s="2" t="s">
        <v>21</v>
      </c>
      <c r="N93" s="4" t="s">
        <v>22</v>
      </c>
      <c r="O93" s="2" t="s">
        <v>561</v>
      </c>
      <c r="P93" s="4" t="s">
        <v>563</v>
      </c>
      <c r="Q93" s="9" t="s">
        <v>24</v>
      </c>
      <c r="R93" s="4" t="s">
        <v>25</v>
      </c>
    </row>
    <row r="94" spans="1:18" s="47" customFormat="1" x14ac:dyDescent="0.35">
      <c r="A94" s="63">
        <v>92</v>
      </c>
      <c r="D94" s="47" t="s">
        <v>530</v>
      </c>
      <c r="F94" s="47" t="s">
        <v>338</v>
      </c>
      <c r="G94" s="47" t="s">
        <v>524</v>
      </c>
      <c r="H94" s="4" t="s">
        <v>567</v>
      </c>
      <c r="I94" s="76" t="s">
        <v>503</v>
      </c>
      <c r="J94" s="4" t="s">
        <v>523</v>
      </c>
      <c r="K94" s="76" t="s">
        <v>503</v>
      </c>
      <c r="L94" s="4" t="s">
        <v>523</v>
      </c>
      <c r="M94" s="2" t="s">
        <v>21</v>
      </c>
      <c r="N94" s="4" t="s">
        <v>22</v>
      </c>
      <c r="O94" s="2" t="s">
        <v>561</v>
      </c>
      <c r="P94" s="4" t="s">
        <v>563</v>
      </c>
      <c r="Q94" s="9" t="s">
        <v>24</v>
      </c>
      <c r="R94" s="4" t="s">
        <v>25</v>
      </c>
    </row>
    <row r="95" spans="1:18" s="47" customFormat="1" x14ac:dyDescent="0.35">
      <c r="A95" s="63">
        <v>93</v>
      </c>
      <c r="D95" s="47" t="s">
        <v>531</v>
      </c>
      <c r="F95" s="47" t="s">
        <v>338</v>
      </c>
      <c r="G95" s="47" t="s">
        <v>524</v>
      </c>
      <c r="H95" s="4" t="s">
        <v>567</v>
      </c>
      <c r="I95" s="76" t="s">
        <v>503</v>
      </c>
      <c r="J95" s="4" t="s">
        <v>523</v>
      </c>
      <c r="K95" s="76" t="s">
        <v>503</v>
      </c>
      <c r="L95" s="4" t="s">
        <v>523</v>
      </c>
      <c r="M95" s="2" t="s">
        <v>21</v>
      </c>
      <c r="N95" s="4" t="s">
        <v>22</v>
      </c>
      <c r="O95" s="2" t="s">
        <v>561</v>
      </c>
      <c r="P95" s="4" t="s">
        <v>563</v>
      </c>
      <c r="Q95" s="9" t="s">
        <v>24</v>
      </c>
      <c r="R95" s="4" t="s">
        <v>25</v>
      </c>
    </row>
    <row r="96" spans="1:18" s="47" customFormat="1" x14ac:dyDescent="0.35">
      <c r="A96" s="63">
        <v>94</v>
      </c>
      <c r="D96" s="47" t="s">
        <v>532</v>
      </c>
      <c r="F96" s="47" t="s">
        <v>338</v>
      </c>
      <c r="G96" s="47" t="s">
        <v>524</v>
      </c>
      <c r="H96" s="4" t="s">
        <v>568</v>
      </c>
      <c r="I96" s="76" t="s">
        <v>503</v>
      </c>
      <c r="J96" s="4" t="s">
        <v>523</v>
      </c>
      <c r="K96" s="76" t="s">
        <v>503</v>
      </c>
      <c r="L96" s="4" t="s">
        <v>523</v>
      </c>
      <c r="M96" s="2" t="s">
        <v>21</v>
      </c>
      <c r="N96" s="4" t="s">
        <v>22</v>
      </c>
      <c r="O96" s="2" t="s">
        <v>561</v>
      </c>
      <c r="P96" s="4" t="s">
        <v>563</v>
      </c>
      <c r="Q96" s="9" t="s">
        <v>24</v>
      </c>
      <c r="R96" s="4" t="s">
        <v>25</v>
      </c>
    </row>
    <row r="97" spans="1:18" s="47" customFormat="1" x14ac:dyDescent="0.35">
      <c r="A97" s="63">
        <v>95</v>
      </c>
      <c r="D97" s="47" t="s">
        <v>533</v>
      </c>
      <c r="F97" s="47" t="s">
        <v>338</v>
      </c>
      <c r="G97" s="47" t="s">
        <v>524</v>
      </c>
      <c r="H97" s="4" t="s">
        <v>568</v>
      </c>
      <c r="I97" s="76" t="s">
        <v>503</v>
      </c>
      <c r="J97" s="4" t="s">
        <v>523</v>
      </c>
      <c r="K97" s="76" t="s">
        <v>503</v>
      </c>
      <c r="L97" s="4" t="s">
        <v>523</v>
      </c>
      <c r="M97" s="2" t="s">
        <v>21</v>
      </c>
      <c r="N97" s="4" t="s">
        <v>22</v>
      </c>
      <c r="O97" s="2" t="s">
        <v>561</v>
      </c>
      <c r="P97" s="4" t="s">
        <v>563</v>
      </c>
      <c r="Q97" s="9" t="s">
        <v>24</v>
      </c>
      <c r="R97" s="4" t="s">
        <v>25</v>
      </c>
    </row>
    <row r="98" spans="1:18" s="47" customFormat="1" x14ac:dyDescent="0.35">
      <c r="A98" s="63">
        <v>96</v>
      </c>
      <c r="D98" s="47" t="s">
        <v>534</v>
      </c>
      <c r="F98" s="47" t="s">
        <v>338</v>
      </c>
      <c r="G98" s="47" t="s">
        <v>524</v>
      </c>
      <c r="H98" s="4" t="s">
        <v>567</v>
      </c>
      <c r="I98" s="76" t="s">
        <v>503</v>
      </c>
      <c r="J98" s="4" t="s">
        <v>523</v>
      </c>
      <c r="K98" s="76" t="s">
        <v>503</v>
      </c>
      <c r="L98" s="4" t="s">
        <v>523</v>
      </c>
      <c r="M98" s="2" t="s">
        <v>21</v>
      </c>
      <c r="N98" s="4" t="s">
        <v>22</v>
      </c>
      <c r="O98" s="2" t="s">
        <v>561</v>
      </c>
      <c r="P98" s="4" t="s">
        <v>563</v>
      </c>
      <c r="Q98" s="9" t="s">
        <v>24</v>
      </c>
      <c r="R98" s="4" t="s">
        <v>25</v>
      </c>
    </row>
    <row r="99" spans="1:18" s="47" customFormat="1" x14ac:dyDescent="0.35">
      <c r="A99" s="63">
        <v>97</v>
      </c>
      <c r="D99" s="47" t="s">
        <v>535</v>
      </c>
      <c r="F99" s="47" t="s">
        <v>338</v>
      </c>
      <c r="G99" s="47" t="s">
        <v>524</v>
      </c>
      <c r="H99" s="4" t="s">
        <v>567</v>
      </c>
      <c r="I99" s="76" t="s">
        <v>503</v>
      </c>
      <c r="J99" s="4" t="s">
        <v>523</v>
      </c>
      <c r="K99" s="76" t="s">
        <v>503</v>
      </c>
      <c r="L99" s="4" t="s">
        <v>523</v>
      </c>
      <c r="M99" s="2" t="s">
        <v>21</v>
      </c>
      <c r="N99" s="4" t="s">
        <v>22</v>
      </c>
      <c r="O99" s="2" t="s">
        <v>561</v>
      </c>
      <c r="P99" s="4" t="s">
        <v>563</v>
      </c>
      <c r="Q99" s="9" t="s">
        <v>24</v>
      </c>
      <c r="R99" s="4" t="s">
        <v>25</v>
      </c>
    </row>
    <row r="100" spans="1:18" x14ac:dyDescent="0.35">
      <c r="A100" s="63">
        <v>98</v>
      </c>
      <c r="D100" s="15" t="s">
        <v>502</v>
      </c>
      <c r="F100" t="s">
        <v>16</v>
      </c>
      <c r="G100" t="s">
        <v>16</v>
      </c>
      <c r="H100" s="4" t="s">
        <v>567</v>
      </c>
      <c r="I100" s="78" t="s">
        <v>464</v>
      </c>
      <c r="J100" s="10" t="s">
        <v>465</v>
      </c>
      <c r="K100" s="10" t="s">
        <v>81</v>
      </c>
      <c r="L100" s="4" t="s">
        <v>466</v>
      </c>
      <c r="M100" s="2" t="s">
        <v>21</v>
      </c>
      <c r="N100" s="4" t="s">
        <v>22</v>
      </c>
      <c r="O100" s="2" t="s">
        <v>561</v>
      </c>
      <c r="P100" s="4" t="s">
        <v>563</v>
      </c>
      <c r="Q100" s="9" t="s">
        <v>24</v>
      </c>
      <c r="R100" s="4" t="s">
        <v>25</v>
      </c>
    </row>
    <row r="101" spans="1:18" x14ac:dyDescent="0.35">
      <c r="A101" s="63">
        <v>99</v>
      </c>
      <c r="D101" s="15" t="s">
        <v>536</v>
      </c>
      <c r="F101" t="s">
        <v>338</v>
      </c>
      <c r="G101" t="s">
        <v>340</v>
      </c>
      <c r="H101" s="4" t="s">
        <v>568</v>
      </c>
      <c r="I101" s="78" t="s">
        <v>537</v>
      </c>
      <c r="J101" s="10" t="s">
        <v>538</v>
      </c>
      <c r="K101" s="10" t="s">
        <v>503</v>
      </c>
      <c r="L101" s="4" t="s">
        <v>523</v>
      </c>
      <c r="M101" s="2" t="s">
        <v>21</v>
      </c>
      <c r="N101" s="4" t="s">
        <v>22</v>
      </c>
      <c r="O101" s="2" t="s">
        <v>561</v>
      </c>
      <c r="P101" s="4" t="s">
        <v>563</v>
      </c>
      <c r="Q101" s="9" t="s">
        <v>24</v>
      </c>
      <c r="R101" s="4" t="s">
        <v>25</v>
      </c>
    </row>
    <row r="102" spans="1:18" s="63" customFormat="1" x14ac:dyDescent="0.35">
      <c r="A102" s="63">
        <v>100</v>
      </c>
      <c r="D102" s="79" t="s">
        <v>555</v>
      </c>
      <c r="F102" s="63" t="s">
        <v>16</v>
      </c>
      <c r="G102" s="63" t="s">
        <v>16</v>
      </c>
      <c r="H102" s="80" t="s">
        <v>567</v>
      </c>
      <c r="I102" s="81" t="s">
        <v>17</v>
      </c>
      <c r="J102" s="80" t="s">
        <v>18</v>
      </c>
      <c r="K102" s="80" t="s">
        <v>19</v>
      </c>
      <c r="L102" s="82" t="s">
        <v>20</v>
      </c>
      <c r="M102" s="83" t="s">
        <v>21</v>
      </c>
      <c r="N102" s="82" t="s">
        <v>22</v>
      </c>
      <c r="O102" s="83" t="s">
        <v>561</v>
      </c>
      <c r="P102" s="82" t="s">
        <v>563</v>
      </c>
      <c r="Q102" s="84" t="s">
        <v>24</v>
      </c>
      <c r="R102" s="82" t="s">
        <v>25</v>
      </c>
    </row>
    <row r="103" spans="1:18" s="63" customFormat="1" x14ac:dyDescent="0.35">
      <c r="A103" s="63">
        <v>101</v>
      </c>
      <c r="D103" s="63" t="s">
        <v>556</v>
      </c>
      <c r="F103" s="63" t="s">
        <v>16</v>
      </c>
      <c r="G103" s="63" t="s">
        <v>16</v>
      </c>
      <c r="H103" s="80" t="s">
        <v>567</v>
      </c>
      <c r="I103" s="85" t="s">
        <v>464</v>
      </c>
      <c r="J103" s="80" t="s">
        <v>465</v>
      </c>
      <c r="K103" s="86" t="s">
        <v>81</v>
      </c>
      <c r="L103" s="80" t="s">
        <v>466</v>
      </c>
      <c r="M103" s="87" t="s">
        <v>21</v>
      </c>
      <c r="N103" s="80" t="s">
        <v>22</v>
      </c>
      <c r="O103" s="87" t="s">
        <v>561</v>
      </c>
      <c r="P103" s="80" t="s">
        <v>563</v>
      </c>
      <c r="Q103" s="84" t="s">
        <v>24</v>
      </c>
      <c r="R103" s="82" t="s">
        <v>25</v>
      </c>
    </row>
    <row r="104" spans="1:18" s="63" customFormat="1" x14ac:dyDescent="0.35">
      <c r="A104" s="63">
        <v>102</v>
      </c>
      <c r="D104" s="63" t="s">
        <v>557</v>
      </c>
      <c r="F104" s="63" t="s">
        <v>16</v>
      </c>
      <c r="G104" s="63" t="s">
        <v>16</v>
      </c>
      <c r="H104" s="80" t="s">
        <v>567</v>
      </c>
      <c r="I104" s="88" t="s">
        <v>464</v>
      </c>
      <c r="J104" s="62" t="s">
        <v>465</v>
      </c>
      <c r="K104" s="89" t="s">
        <v>81</v>
      </c>
      <c r="L104" s="62" t="s">
        <v>466</v>
      </c>
      <c r="M104" s="90" t="s">
        <v>21</v>
      </c>
      <c r="N104" s="62" t="s">
        <v>22</v>
      </c>
      <c r="O104" s="90" t="s">
        <v>561</v>
      </c>
      <c r="P104" s="62" t="s">
        <v>563</v>
      </c>
      <c r="Q104" s="91" t="s">
        <v>24</v>
      </c>
      <c r="R104" s="92" t="s">
        <v>25</v>
      </c>
    </row>
    <row r="105" spans="1:18" x14ac:dyDescent="0.35">
      <c r="A105" s="63">
        <v>103</v>
      </c>
      <c r="D105" s="80" t="s">
        <v>565</v>
      </c>
      <c r="E105" s="80"/>
      <c r="F105" s="80" t="s">
        <v>338</v>
      </c>
      <c r="G105" s="93" t="s">
        <v>342</v>
      </c>
      <c r="H105" s="80" t="s">
        <v>567</v>
      </c>
      <c r="I105" s="94" t="s">
        <v>118</v>
      </c>
      <c r="J105" s="80" t="s">
        <v>119</v>
      </c>
      <c r="K105" s="87" t="s">
        <v>118</v>
      </c>
      <c r="L105" s="80" t="s">
        <v>119</v>
      </c>
      <c r="M105" s="87" t="s">
        <v>21</v>
      </c>
      <c r="N105" s="80" t="s">
        <v>22</v>
      </c>
      <c r="O105" s="87" t="s">
        <v>561</v>
      </c>
      <c r="P105" s="80" t="s">
        <v>563</v>
      </c>
      <c r="Q105" s="95" t="s">
        <v>24</v>
      </c>
      <c r="R105" s="80" t="s">
        <v>25</v>
      </c>
    </row>
    <row r="106" spans="1:18" x14ac:dyDescent="0.35">
      <c r="A106" s="63">
        <v>104</v>
      </c>
      <c r="D106" s="63" t="s">
        <v>569</v>
      </c>
      <c r="F106" t="s">
        <v>41</v>
      </c>
      <c r="G106" t="s">
        <v>41</v>
      </c>
      <c r="H106" s="10" t="s">
        <v>567</v>
      </c>
      <c r="I106" s="64" t="s">
        <v>42</v>
      </c>
      <c r="J106" s="4" t="s">
        <v>43</v>
      </c>
      <c r="K106" s="1" t="s">
        <v>44</v>
      </c>
      <c r="L106" s="4" t="s">
        <v>45</v>
      </c>
      <c r="M106" s="2" t="s">
        <v>21</v>
      </c>
      <c r="N106" s="4" t="s">
        <v>22</v>
      </c>
      <c r="O106" s="2" t="s">
        <v>560</v>
      </c>
      <c r="P106" s="4" t="s">
        <v>562</v>
      </c>
      <c r="Q106" s="9" t="s">
        <v>24</v>
      </c>
      <c r="R106" s="4" t="s">
        <v>25</v>
      </c>
    </row>
    <row r="107" spans="1:18" x14ac:dyDescent="0.35">
      <c r="A107" s="63">
        <v>105</v>
      </c>
      <c r="D107" t="s">
        <v>570</v>
      </c>
      <c r="F107" t="s">
        <v>16</v>
      </c>
      <c r="G107" t="s">
        <v>16</v>
      </c>
      <c r="H107" s="10" t="s">
        <v>567</v>
      </c>
      <c r="I107" s="64" t="s">
        <v>33</v>
      </c>
      <c r="J107" s="67" t="s">
        <v>34</v>
      </c>
      <c r="K107" s="64" t="s">
        <v>35</v>
      </c>
      <c r="L107" s="4" t="s">
        <v>36</v>
      </c>
      <c r="M107" s="2" t="s">
        <v>21</v>
      </c>
      <c r="N107" s="4" t="s">
        <v>22</v>
      </c>
      <c r="O107" s="2" t="s">
        <v>561</v>
      </c>
      <c r="P107" s="4" t="s">
        <v>563</v>
      </c>
      <c r="Q107" s="9" t="s">
        <v>24</v>
      </c>
      <c r="R107" s="4" t="s">
        <v>25</v>
      </c>
    </row>
    <row r="108" spans="1:18" x14ac:dyDescent="0.35">
      <c r="A108" s="63">
        <v>106</v>
      </c>
      <c r="D108" s="77" t="s">
        <v>571</v>
      </c>
      <c r="F108" t="s">
        <v>41</v>
      </c>
      <c r="G108" t="s">
        <v>41</v>
      </c>
      <c r="H108" s="10" t="s">
        <v>567</v>
      </c>
      <c r="I108" s="64" t="s">
        <v>42</v>
      </c>
      <c r="J108" s="4" t="s">
        <v>43</v>
      </c>
      <c r="K108" s="1" t="s">
        <v>44</v>
      </c>
      <c r="L108" s="4" t="s">
        <v>45</v>
      </c>
      <c r="M108" s="2" t="s">
        <v>21</v>
      </c>
      <c r="N108" s="4" t="s">
        <v>22</v>
      </c>
      <c r="O108" s="2" t="s">
        <v>560</v>
      </c>
      <c r="P108" s="4" t="s">
        <v>562</v>
      </c>
      <c r="Q108" s="9" t="s">
        <v>24</v>
      </c>
      <c r="R108" s="4" t="s">
        <v>25</v>
      </c>
    </row>
    <row r="109" spans="1:18" x14ac:dyDescent="0.35">
      <c r="A109" s="63">
        <v>107</v>
      </c>
      <c r="D109" s="63" t="s">
        <v>572</v>
      </c>
      <c r="F109" t="s">
        <v>16</v>
      </c>
      <c r="G109" t="s">
        <v>16</v>
      </c>
      <c r="H109" s="10" t="s">
        <v>567</v>
      </c>
      <c r="I109" s="5" t="s">
        <v>464</v>
      </c>
      <c r="J109" t="s">
        <v>465</v>
      </c>
      <c r="K109" s="5" t="s">
        <v>81</v>
      </c>
      <c r="L109" s="62" t="s">
        <v>466</v>
      </c>
      <c r="M109" s="2" t="s">
        <v>21</v>
      </c>
      <c r="N109" s="4" t="s">
        <v>22</v>
      </c>
      <c r="O109" s="2" t="s">
        <v>561</v>
      </c>
      <c r="P109" s="4" t="s">
        <v>563</v>
      </c>
      <c r="Q109" s="9" t="s">
        <v>24</v>
      </c>
      <c r="R109" s="4" t="s">
        <v>25</v>
      </c>
    </row>
    <row r="110" spans="1:18" x14ac:dyDescent="0.35">
      <c r="A110" s="63">
        <v>108</v>
      </c>
      <c r="D110" t="s">
        <v>573</v>
      </c>
      <c r="F110" t="s">
        <v>41</v>
      </c>
      <c r="G110" t="s">
        <v>41</v>
      </c>
      <c r="H110" s="10" t="s">
        <v>567</v>
      </c>
      <c r="I110" s="64" t="s">
        <v>42</v>
      </c>
      <c r="J110" s="4" t="s">
        <v>43</v>
      </c>
      <c r="K110" s="1" t="s">
        <v>44</v>
      </c>
      <c r="L110" s="4" t="s">
        <v>45</v>
      </c>
      <c r="M110" s="2" t="s">
        <v>21</v>
      </c>
      <c r="N110" s="4" t="s">
        <v>22</v>
      </c>
      <c r="O110" s="2" t="s">
        <v>560</v>
      </c>
      <c r="P110" s="4" t="s">
        <v>562</v>
      </c>
      <c r="Q110" s="9" t="s">
        <v>24</v>
      </c>
      <c r="R110" s="4" t="s">
        <v>25</v>
      </c>
    </row>
    <row r="111" spans="1:18" s="63" customFormat="1" x14ac:dyDescent="0.35">
      <c r="A111" s="63">
        <v>109</v>
      </c>
      <c r="D111" s="63" t="s">
        <v>574</v>
      </c>
      <c r="F111" s="63" t="s">
        <v>16</v>
      </c>
      <c r="G111" s="63" t="s">
        <v>16</v>
      </c>
      <c r="H111" s="80" t="s">
        <v>567</v>
      </c>
      <c r="I111" s="88" t="s">
        <v>464</v>
      </c>
      <c r="J111" s="62" t="s">
        <v>465</v>
      </c>
      <c r="K111" s="89" t="s">
        <v>81</v>
      </c>
      <c r="L111" s="62" t="s">
        <v>466</v>
      </c>
      <c r="M111" s="90" t="s">
        <v>21</v>
      </c>
      <c r="N111" s="62" t="s">
        <v>22</v>
      </c>
      <c r="O111" s="90" t="s">
        <v>561</v>
      </c>
      <c r="P111" s="62" t="s">
        <v>563</v>
      </c>
      <c r="Q111" s="91" t="s">
        <v>24</v>
      </c>
      <c r="R111" s="92" t="s">
        <v>25</v>
      </c>
    </row>
    <row r="112" spans="1:18" s="47" customFormat="1" x14ac:dyDescent="0.35">
      <c r="A112" s="115">
        <v>110</v>
      </c>
      <c r="B112" s="116"/>
      <c r="C112" s="116"/>
      <c r="D112" s="116" t="s">
        <v>591</v>
      </c>
      <c r="E112" s="116"/>
      <c r="F112" s="116" t="s">
        <v>338</v>
      </c>
      <c r="G112" s="116" t="s">
        <v>524</v>
      </c>
      <c r="H112" s="117" t="s">
        <v>567</v>
      </c>
      <c r="I112" s="118" t="s">
        <v>503</v>
      </c>
      <c r="J112" s="117" t="s">
        <v>523</v>
      </c>
      <c r="K112" s="118" t="s">
        <v>503</v>
      </c>
      <c r="L112" s="117" t="s">
        <v>523</v>
      </c>
      <c r="M112" s="119" t="s">
        <v>21</v>
      </c>
      <c r="N112" s="117" t="s">
        <v>22</v>
      </c>
      <c r="O112" s="119" t="s">
        <v>561</v>
      </c>
      <c r="P112" s="117" t="s">
        <v>563</v>
      </c>
      <c r="Q112" s="120" t="s">
        <v>24</v>
      </c>
      <c r="R112" s="117" t="s">
        <v>25</v>
      </c>
    </row>
  </sheetData>
  <autoFilter ref="F1:F109" xr:uid="{00000000-0001-0000-0100-000000000000}"/>
  <sortState xmlns:xlrd2="http://schemas.microsoft.com/office/spreadsheetml/2017/richdata2" ref="A2:R109">
    <sortCondition ref="A89:A109"/>
  </sortState>
  <phoneticPr fontId="8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3"/>
  <sheetViews>
    <sheetView workbookViewId="0">
      <selection activeCell="G11" sqref="G11"/>
    </sheetView>
  </sheetViews>
  <sheetFormatPr defaultRowHeight="14.5" x14ac:dyDescent="0.35"/>
  <cols>
    <col min="2" max="2" width="40.1796875" bestFit="1" customWidth="1"/>
    <col min="3" max="3" width="14.1796875" bestFit="1" customWidth="1"/>
    <col min="4" max="4" width="48.453125" bestFit="1" customWidth="1"/>
  </cols>
  <sheetData>
    <row r="1" spans="2:4" x14ac:dyDescent="0.35">
      <c r="B1" s="114" t="s">
        <v>346</v>
      </c>
      <c r="C1" s="114" t="s">
        <v>186</v>
      </c>
      <c r="D1" s="114" t="s">
        <v>185</v>
      </c>
    </row>
    <row r="2" spans="2:4" x14ac:dyDescent="0.35">
      <c r="B2" t="s">
        <v>16</v>
      </c>
      <c r="C2" s="112">
        <v>4035021008</v>
      </c>
      <c r="D2" t="s">
        <v>184</v>
      </c>
    </row>
    <row r="3" spans="2:4" x14ac:dyDescent="0.35">
      <c r="B3" t="s">
        <v>41</v>
      </c>
      <c r="C3" s="112">
        <v>4035021006</v>
      </c>
      <c r="D3" t="s">
        <v>182</v>
      </c>
    </row>
    <row r="4" spans="2:4" x14ac:dyDescent="0.35">
      <c r="B4" t="s">
        <v>339</v>
      </c>
      <c r="C4" s="112">
        <v>4990104002001</v>
      </c>
      <c r="D4" t="s">
        <v>94</v>
      </c>
    </row>
    <row r="5" spans="2:4" x14ac:dyDescent="0.35">
      <c r="B5" t="s">
        <v>340</v>
      </c>
      <c r="C5" s="112">
        <v>4990103002003</v>
      </c>
      <c r="D5" t="s">
        <v>181</v>
      </c>
    </row>
    <row r="6" spans="2:4" x14ac:dyDescent="0.35">
      <c r="B6" t="s">
        <v>341</v>
      </c>
      <c r="C6" s="112">
        <v>4990106001004</v>
      </c>
      <c r="D6" t="s">
        <v>113</v>
      </c>
    </row>
    <row r="7" spans="2:4" x14ac:dyDescent="0.35">
      <c r="B7" t="s">
        <v>342</v>
      </c>
      <c r="C7" s="112">
        <v>4990105002005</v>
      </c>
      <c r="D7" t="s">
        <v>117</v>
      </c>
    </row>
    <row r="8" spans="2:4" x14ac:dyDescent="0.35">
      <c r="B8" t="s">
        <v>343</v>
      </c>
      <c r="C8" s="112">
        <v>4990108002010</v>
      </c>
      <c r="D8" t="s">
        <v>180</v>
      </c>
    </row>
    <row r="9" spans="2:4" x14ac:dyDescent="0.35">
      <c r="B9" t="s">
        <v>344</v>
      </c>
      <c r="C9" s="112">
        <v>4990107002001</v>
      </c>
      <c r="D9" t="s">
        <v>143</v>
      </c>
    </row>
    <row r="10" spans="2:4" x14ac:dyDescent="0.35">
      <c r="B10" t="s">
        <v>505</v>
      </c>
      <c r="C10" s="112">
        <v>4990111002004</v>
      </c>
      <c r="D10" t="s">
        <v>504</v>
      </c>
    </row>
    <row r="13" spans="2:4" ht="29" x14ac:dyDescent="0.35">
      <c r="B13" s="102" t="s">
        <v>587</v>
      </c>
      <c r="C13" s="103" t="s">
        <v>186</v>
      </c>
      <c r="D13" s="103" t="s">
        <v>185</v>
      </c>
    </row>
    <row r="14" spans="2:4" x14ac:dyDescent="0.35">
      <c r="B14" s="104" t="s">
        <v>342</v>
      </c>
      <c r="C14" s="56" t="s">
        <v>579</v>
      </c>
      <c r="D14" s="105" t="s">
        <v>580</v>
      </c>
    </row>
    <row r="15" spans="2:4" x14ac:dyDescent="0.35">
      <c r="B15" s="55" t="s">
        <v>339</v>
      </c>
      <c r="C15" s="56" t="s">
        <v>581</v>
      </c>
      <c r="D15" s="55" t="s">
        <v>582</v>
      </c>
    </row>
    <row r="16" spans="2:4" x14ac:dyDescent="0.35">
      <c r="B16" s="46" t="s">
        <v>505</v>
      </c>
      <c r="C16" s="56" t="s">
        <v>585</v>
      </c>
      <c r="D16" s="55" t="s">
        <v>586</v>
      </c>
    </row>
    <row r="17" spans="2:4" x14ac:dyDescent="0.35">
      <c r="B17" s="55" t="s">
        <v>340</v>
      </c>
      <c r="C17" s="56" t="s">
        <v>583</v>
      </c>
      <c r="D17" s="55" t="s">
        <v>584</v>
      </c>
    </row>
    <row r="19" spans="2:4" x14ac:dyDescent="0.35">
      <c r="B19" s="48" t="s">
        <v>16</v>
      </c>
      <c r="C19" s="113" t="s">
        <v>315</v>
      </c>
      <c r="D19" s="55" t="s">
        <v>316</v>
      </c>
    </row>
    <row r="20" spans="2:4" x14ac:dyDescent="0.35">
      <c r="B20" s="48" t="s">
        <v>41</v>
      </c>
      <c r="C20" s="113" t="s">
        <v>315</v>
      </c>
      <c r="D20" s="55" t="s">
        <v>316</v>
      </c>
    </row>
    <row r="21" spans="2:4" x14ac:dyDescent="0.35">
      <c r="B21" s="48" t="s">
        <v>341</v>
      </c>
      <c r="C21" s="113" t="s">
        <v>315</v>
      </c>
      <c r="D21" s="55" t="s">
        <v>316</v>
      </c>
    </row>
    <row r="22" spans="2:4" x14ac:dyDescent="0.35">
      <c r="B22" s="48" t="s">
        <v>343</v>
      </c>
      <c r="C22" s="113" t="s">
        <v>315</v>
      </c>
      <c r="D22" s="55" t="s">
        <v>316</v>
      </c>
    </row>
    <row r="23" spans="2:4" x14ac:dyDescent="0.35">
      <c r="B23" s="48" t="s">
        <v>344</v>
      </c>
      <c r="C23" s="113" t="s">
        <v>315</v>
      </c>
      <c r="D23" s="55" t="s">
        <v>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1"/>
  <sheetViews>
    <sheetView tabSelected="1" topLeftCell="C1" zoomScale="98" zoomScaleNormal="98" workbookViewId="0">
      <pane ySplit="1" topLeftCell="A19" activePane="bottomLeft" state="frozen"/>
      <selection activeCell="E1" sqref="E1"/>
      <selection pane="bottomLeft" activeCell="H22" sqref="H22:K70"/>
    </sheetView>
  </sheetViews>
  <sheetFormatPr defaultRowHeight="14.5" x14ac:dyDescent="0.35"/>
  <cols>
    <col min="1" max="1" width="13.6328125" bestFit="1" customWidth="1"/>
    <col min="2" max="2" width="22.36328125" bestFit="1" customWidth="1"/>
    <col min="3" max="3" width="15.26953125" bestFit="1" customWidth="1"/>
    <col min="4" max="4" width="15.26953125" customWidth="1"/>
    <col min="5" max="5" width="11.26953125" bestFit="1" customWidth="1"/>
    <col min="6" max="6" width="72.1796875" bestFit="1" customWidth="1"/>
    <col min="7" max="7" width="6.453125" bestFit="1" customWidth="1"/>
    <col min="8" max="8" width="32.26953125" customWidth="1"/>
    <col min="9" max="9" width="28.81640625" customWidth="1"/>
    <col min="10" max="10" width="48.08984375" bestFit="1" customWidth="1"/>
    <col min="11" max="11" width="47.81640625" bestFit="1" customWidth="1"/>
    <col min="12" max="12" width="65.81640625" bestFit="1" customWidth="1"/>
    <col min="13" max="13" width="36" bestFit="1" customWidth="1"/>
  </cols>
  <sheetData>
    <row r="1" spans="1:13" x14ac:dyDescent="0.35">
      <c r="A1" s="10" t="s">
        <v>287</v>
      </c>
      <c r="B1" s="10" t="s">
        <v>273</v>
      </c>
      <c r="C1" s="10" t="s">
        <v>288</v>
      </c>
      <c r="D1" s="10" t="s">
        <v>353</v>
      </c>
      <c r="E1" s="10" t="s">
        <v>289</v>
      </c>
      <c r="F1" s="10" t="s">
        <v>289</v>
      </c>
      <c r="G1" s="10" t="s">
        <v>290</v>
      </c>
      <c r="H1" s="10" t="s">
        <v>285</v>
      </c>
      <c r="I1" s="10" t="s">
        <v>291</v>
      </c>
      <c r="J1" s="10"/>
      <c r="K1" s="10" t="s">
        <v>292</v>
      </c>
      <c r="L1" s="10" t="s">
        <v>293</v>
      </c>
      <c r="M1" s="10" t="s">
        <v>437</v>
      </c>
    </row>
    <row r="2" spans="1:13" ht="17" customHeight="1" x14ac:dyDescent="0.35">
      <c r="A2" s="123" t="s">
        <v>294</v>
      </c>
      <c r="B2" s="123" t="s">
        <v>294</v>
      </c>
      <c r="C2" s="123">
        <v>1</v>
      </c>
      <c r="D2" s="123" t="s">
        <v>354</v>
      </c>
      <c r="E2" s="10">
        <v>7</v>
      </c>
      <c r="F2" s="10" t="s">
        <v>207</v>
      </c>
      <c r="G2" s="123" t="s">
        <v>276</v>
      </c>
      <c r="H2" s="128" t="s">
        <v>494</v>
      </c>
      <c r="I2" s="123" t="s">
        <v>6</v>
      </c>
      <c r="J2" s="17"/>
      <c r="K2" s="123" t="s">
        <v>295</v>
      </c>
      <c r="L2" s="128" t="s">
        <v>352</v>
      </c>
      <c r="M2" s="132" t="s">
        <v>438</v>
      </c>
    </row>
    <row r="3" spans="1:13" x14ac:dyDescent="0.35">
      <c r="A3" s="127"/>
      <c r="B3" s="127"/>
      <c r="C3" s="127"/>
      <c r="D3" s="127"/>
      <c r="E3" s="10">
        <v>8</v>
      </c>
      <c r="F3" s="10" t="s">
        <v>208</v>
      </c>
      <c r="G3" s="127"/>
      <c r="H3" s="129"/>
      <c r="I3" s="127"/>
      <c r="J3" s="18"/>
      <c r="K3" s="127"/>
      <c r="L3" s="129"/>
      <c r="M3" s="131"/>
    </row>
    <row r="4" spans="1:13" x14ac:dyDescent="0.35">
      <c r="A4" s="127"/>
      <c r="B4" s="127"/>
      <c r="C4" s="127"/>
      <c r="D4" s="127"/>
      <c r="E4" s="10">
        <v>9</v>
      </c>
      <c r="F4" s="10" t="s">
        <v>209</v>
      </c>
      <c r="G4" s="127"/>
      <c r="H4" s="129"/>
      <c r="I4" s="127"/>
      <c r="J4" s="18"/>
      <c r="K4" s="127"/>
      <c r="L4" s="129"/>
      <c r="M4" s="131"/>
    </row>
    <row r="5" spans="1:13" x14ac:dyDescent="0.35">
      <c r="A5" s="127"/>
      <c r="B5" s="127"/>
      <c r="C5" s="127"/>
      <c r="D5" s="127"/>
      <c r="E5" s="10">
        <v>10</v>
      </c>
      <c r="F5" s="10" t="s">
        <v>210</v>
      </c>
      <c r="G5" s="127"/>
      <c r="H5" s="129"/>
      <c r="I5" s="127"/>
      <c r="J5" s="18"/>
      <c r="K5" s="127"/>
      <c r="L5" s="129"/>
      <c r="M5" s="131"/>
    </row>
    <row r="6" spans="1:13" x14ac:dyDescent="0.35">
      <c r="A6" s="127"/>
      <c r="B6" s="127"/>
      <c r="C6" s="127"/>
      <c r="D6" s="127"/>
      <c r="E6" s="10">
        <v>11</v>
      </c>
      <c r="F6" s="10" t="s">
        <v>211</v>
      </c>
      <c r="G6" s="127"/>
      <c r="H6" s="129"/>
      <c r="I6" s="127"/>
      <c r="J6" s="18"/>
      <c r="K6" s="127"/>
      <c r="L6" s="129"/>
      <c r="M6" s="131"/>
    </row>
    <row r="7" spans="1:13" x14ac:dyDescent="0.35">
      <c r="A7" s="127"/>
      <c r="B7" s="127"/>
      <c r="C7" s="127"/>
      <c r="D7" s="127"/>
      <c r="E7" s="10">
        <v>12</v>
      </c>
      <c r="F7" s="10" t="s">
        <v>212</v>
      </c>
      <c r="G7" s="127"/>
      <c r="H7" s="129"/>
      <c r="I7" s="127"/>
      <c r="J7" s="18"/>
      <c r="K7" s="127"/>
      <c r="L7" s="129"/>
      <c r="M7" s="131"/>
    </row>
    <row r="8" spans="1:13" x14ac:dyDescent="0.35">
      <c r="A8" s="127"/>
      <c r="B8" s="127"/>
      <c r="C8" s="127"/>
      <c r="D8" s="127"/>
      <c r="E8" s="10">
        <v>14</v>
      </c>
      <c r="F8" s="10" t="s">
        <v>215</v>
      </c>
      <c r="G8" s="127"/>
      <c r="H8" s="129"/>
      <c r="I8" s="127"/>
      <c r="J8" s="18"/>
      <c r="K8" s="127"/>
      <c r="L8" s="129"/>
      <c r="M8" s="131"/>
    </row>
    <row r="9" spans="1:13" x14ac:dyDescent="0.35">
      <c r="A9" s="127"/>
      <c r="B9" s="127"/>
      <c r="C9" s="127"/>
      <c r="D9" s="127"/>
      <c r="E9" s="10">
        <v>15</v>
      </c>
      <c r="F9" s="10" t="s">
        <v>216</v>
      </c>
      <c r="G9" s="127"/>
      <c r="H9" s="129"/>
      <c r="I9" s="127"/>
      <c r="J9" s="18"/>
      <c r="K9" s="127"/>
      <c r="L9" s="129"/>
      <c r="M9" s="131"/>
    </row>
    <row r="10" spans="1:13" x14ac:dyDescent="0.35">
      <c r="A10" s="127"/>
      <c r="B10" s="127"/>
      <c r="C10" s="127"/>
      <c r="D10" s="127"/>
      <c r="E10" s="10">
        <v>0</v>
      </c>
      <c r="F10" s="14" t="s">
        <v>239</v>
      </c>
      <c r="G10" s="127"/>
      <c r="H10" s="129"/>
      <c r="I10" s="127"/>
      <c r="J10" s="18"/>
      <c r="K10" s="127"/>
      <c r="L10" s="129"/>
      <c r="M10" s="131"/>
    </row>
    <row r="11" spans="1:13" x14ac:dyDescent="0.35">
      <c r="A11" s="127"/>
      <c r="B11" s="127"/>
      <c r="C11" s="127"/>
      <c r="D11" s="127"/>
      <c r="E11" s="10">
        <v>0</v>
      </c>
      <c r="F11" s="14" t="s">
        <v>240</v>
      </c>
      <c r="G11" s="127"/>
      <c r="H11" s="129"/>
      <c r="I11" s="127"/>
      <c r="J11" s="18"/>
      <c r="K11" s="127"/>
      <c r="L11" s="129"/>
      <c r="M11" s="131"/>
    </row>
    <row r="12" spans="1:13" x14ac:dyDescent="0.35">
      <c r="A12" s="127"/>
      <c r="B12" s="127"/>
      <c r="C12" s="127"/>
      <c r="D12" s="127"/>
      <c r="E12" s="10">
        <v>0</v>
      </c>
      <c r="F12" s="14" t="s">
        <v>241</v>
      </c>
      <c r="G12" s="127"/>
      <c r="H12" s="129"/>
      <c r="I12" s="127"/>
      <c r="J12" s="18"/>
      <c r="K12" s="127"/>
      <c r="L12" s="129"/>
      <c r="M12" s="131"/>
    </row>
    <row r="13" spans="1:13" x14ac:dyDescent="0.35">
      <c r="A13" s="127"/>
      <c r="B13" s="127"/>
      <c r="C13" s="127"/>
      <c r="D13" s="127"/>
      <c r="E13" s="14">
        <v>0</v>
      </c>
      <c r="F13" s="14" t="s">
        <v>521</v>
      </c>
      <c r="G13" s="127"/>
      <c r="H13" s="129"/>
      <c r="I13" s="127"/>
      <c r="J13" s="18"/>
      <c r="K13" s="127"/>
      <c r="L13" s="129"/>
      <c r="M13" s="131"/>
    </row>
    <row r="14" spans="1:13" x14ac:dyDescent="0.35">
      <c r="A14" s="127"/>
      <c r="B14" s="127"/>
      <c r="C14" s="127"/>
      <c r="D14" s="127"/>
      <c r="E14" s="14" t="s">
        <v>426</v>
      </c>
      <c r="F14" s="14" t="s">
        <v>428</v>
      </c>
      <c r="G14" s="124"/>
      <c r="H14" s="139"/>
      <c r="I14" s="124"/>
      <c r="J14" s="19"/>
      <c r="K14" s="124"/>
      <c r="L14" s="129"/>
      <c r="M14" s="131"/>
    </row>
    <row r="15" spans="1:13" ht="29" x14ac:dyDescent="0.35">
      <c r="A15" s="127"/>
      <c r="B15" s="127"/>
      <c r="C15" s="127"/>
      <c r="D15" s="127"/>
      <c r="E15" s="137"/>
      <c r="F15" s="138"/>
      <c r="G15" s="12" t="s">
        <v>277</v>
      </c>
      <c r="H15" s="12" t="s">
        <v>429</v>
      </c>
      <c r="I15" s="12" t="s">
        <v>280</v>
      </c>
      <c r="J15" s="12"/>
      <c r="K15" s="12" t="s">
        <v>295</v>
      </c>
      <c r="L15" s="20" t="s">
        <v>352</v>
      </c>
      <c r="M15" s="131"/>
    </row>
    <row r="16" spans="1:13" ht="14.5" customHeight="1" x14ac:dyDescent="0.35">
      <c r="A16" s="127"/>
      <c r="B16" s="127"/>
      <c r="C16" s="127"/>
      <c r="D16" s="127"/>
      <c r="E16" s="10">
        <v>16</v>
      </c>
      <c r="F16" s="10" t="s">
        <v>200</v>
      </c>
      <c r="G16" s="126" t="s">
        <v>277</v>
      </c>
      <c r="H16" s="12" t="s">
        <v>431</v>
      </c>
      <c r="I16" s="21" t="s">
        <v>21</v>
      </c>
      <c r="J16" s="10" t="s">
        <v>22</v>
      </c>
      <c r="K16" s="10" t="s">
        <v>295</v>
      </c>
      <c r="L16" s="140" t="s">
        <v>352</v>
      </c>
      <c r="M16" s="131"/>
    </row>
    <row r="17" spans="1:13" x14ac:dyDescent="0.35">
      <c r="A17" s="127"/>
      <c r="B17" s="127"/>
      <c r="C17" s="127"/>
      <c r="D17" s="127"/>
      <c r="E17" s="10">
        <v>17</v>
      </c>
      <c r="F17" s="10" t="s">
        <v>201</v>
      </c>
      <c r="G17" s="126"/>
      <c r="H17" s="12" t="s">
        <v>432</v>
      </c>
      <c r="I17" s="21" t="s">
        <v>268</v>
      </c>
      <c r="J17" s="10" t="s">
        <v>269</v>
      </c>
      <c r="K17" s="10" t="s">
        <v>295</v>
      </c>
      <c r="L17" s="141"/>
      <c r="M17" s="131"/>
    </row>
    <row r="18" spans="1:13" x14ac:dyDescent="0.35">
      <c r="A18" s="127"/>
      <c r="B18" s="127"/>
      <c r="C18" s="127"/>
      <c r="D18" s="127"/>
      <c r="E18" s="10">
        <v>22</v>
      </c>
      <c r="F18" s="10" t="s">
        <v>220</v>
      </c>
      <c r="G18" s="126"/>
      <c r="H18" s="12" t="s">
        <v>433</v>
      </c>
      <c r="I18" s="22">
        <v>3050050002</v>
      </c>
      <c r="J18" s="10" t="s">
        <v>296</v>
      </c>
      <c r="K18" s="10" t="s">
        <v>295</v>
      </c>
      <c r="L18" s="141"/>
      <c r="M18" s="131"/>
    </row>
    <row r="19" spans="1:13" x14ac:dyDescent="0.35">
      <c r="A19" s="127"/>
      <c r="B19" s="127"/>
      <c r="C19" s="127"/>
      <c r="D19" s="127"/>
      <c r="E19" s="10">
        <v>23</v>
      </c>
      <c r="F19" s="10" t="s">
        <v>221</v>
      </c>
      <c r="G19" s="126"/>
      <c r="H19" s="12" t="s">
        <v>434</v>
      </c>
      <c r="I19" s="22">
        <v>3050399099</v>
      </c>
      <c r="J19" s="10" t="s">
        <v>250</v>
      </c>
      <c r="K19" s="10" t="s">
        <v>295</v>
      </c>
      <c r="L19" s="141"/>
      <c r="M19" s="131"/>
    </row>
    <row r="20" spans="1:13" x14ac:dyDescent="0.35">
      <c r="A20" s="127"/>
      <c r="B20" s="127"/>
      <c r="C20" s="127"/>
      <c r="D20" s="127"/>
      <c r="E20" s="10">
        <v>27</v>
      </c>
      <c r="F20" s="10" t="s">
        <v>224</v>
      </c>
      <c r="G20" s="126"/>
      <c r="H20" s="12" t="s">
        <v>435</v>
      </c>
      <c r="I20" s="23" t="s">
        <v>297</v>
      </c>
      <c r="J20" s="10" t="s">
        <v>298</v>
      </c>
      <c r="K20" s="10" t="s">
        <v>295</v>
      </c>
      <c r="L20" s="141"/>
      <c r="M20" s="131"/>
    </row>
    <row r="21" spans="1:13" x14ac:dyDescent="0.35">
      <c r="A21" s="127"/>
      <c r="B21" s="127"/>
      <c r="C21" s="127"/>
      <c r="D21" s="127"/>
      <c r="E21" s="10">
        <v>28</v>
      </c>
      <c r="F21" s="10" t="s">
        <v>225</v>
      </c>
      <c r="G21" s="126"/>
      <c r="H21" s="12" t="s">
        <v>436</v>
      </c>
      <c r="I21" s="22">
        <v>3050050003</v>
      </c>
      <c r="J21" s="10" t="s">
        <v>299</v>
      </c>
      <c r="K21" s="10" t="s">
        <v>295</v>
      </c>
      <c r="L21" s="141"/>
      <c r="M21" s="131"/>
    </row>
    <row r="22" spans="1:13" x14ac:dyDescent="0.35">
      <c r="A22" s="127"/>
      <c r="B22" s="127"/>
      <c r="C22" s="127"/>
      <c r="D22" s="127"/>
      <c r="E22" s="10"/>
      <c r="F22" s="156" t="s">
        <v>592</v>
      </c>
      <c r="G22" s="126"/>
      <c r="H22" s="159" t="s">
        <v>430</v>
      </c>
      <c r="I22" s="160">
        <v>3050002001</v>
      </c>
      <c r="J22" s="156" t="s">
        <v>641</v>
      </c>
      <c r="K22" s="156" t="s">
        <v>295</v>
      </c>
      <c r="L22" s="141"/>
      <c r="M22" s="131"/>
    </row>
    <row r="23" spans="1:13" x14ac:dyDescent="0.35">
      <c r="A23" s="127"/>
      <c r="B23" s="127"/>
      <c r="C23" s="127"/>
      <c r="D23" s="127"/>
      <c r="E23" s="10"/>
      <c r="F23" s="156" t="s">
        <v>593</v>
      </c>
      <c r="G23" s="126"/>
      <c r="H23" s="159" t="s">
        <v>430</v>
      </c>
      <c r="I23" s="160">
        <v>4035021006</v>
      </c>
      <c r="J23" s="156" t="s">
        <v>593</v>
      </c>
      <c r="K23" s="156" t="s">
        <v>295</v>
      </c>
      <c r="L23" s="141"/>
      <c r="M23" s="131"/>
    </row>
    <row r="24" spans="1:13" x14ac:dyDescent="0.35">
      <c r="A24" s="127"/>
      <c r="B24" s="127"/>
      <c r="C24" s="127"/>
      <c r="D24" s="127"/>
      <c r="E24" s="10"/>
      <c r="F24" s="156" t="s">
        <v>594</v>
      </c>
      <c r="G24" s="126"/>
      <c r="H24" s="159" t="s">
        <v>430</v>
      </c>
      <c r="I24" s="160">
        <v>4035021008</v>
      </c>
      <c r="J24" s="156" t="s">
        <v>594</v>
      </c>
      <c r="K24" s="156" t="s">
        <v>295</v>
      </c>
      <c r="L24" s="141"/>
      <c r="M24" s="131"/>
    </row>
    <row r="25" spans="1:13" x14ac:dyDescent="0.35">
      <c r="A25" s="127"/>
      <c r="B25" s="127"/>
      <c r="C25" s="127"/>
      <c r="D25" s="127"/>
      <c r="E25" s="10"/>
      <c r="F25" s="156" t="s">
        <v>595</v>
      </c>
      <c r="G25" s="126"/>
      <c r="H25" s="159" t="s">
        <v>430</v>
      </c>
      <c r="I25" s="160">
        <v>4035018</v>
      </c>
      <c r="J25" s="156" t="s">
        <v>595</v>
      </c>
      <c r="K25" s="156" t="s">
        <v>295</v>
      </c>
      <c r="L25" s="141"/>
      <c r="M25" s="131"/>
    </row>
    <row r="26" spans="1:13" x14ac:dyDescent="0.35">
      <c r="A26" s="127"/>
      <c r="B26" s="127"/>
      <c r="C26" s="127"/>
      <c r="D26" s="127"/>
      <c r="E26" s="10"/>
      <c r="F26" s="156" t="s">
        <v>596</v>
      </c>
      <c r="G26" s="126"/>
      <c r="H26" s="159" t="s">
        <v>430</v>
      </c>
      <c r="I26" s="160">
        <v>4035021</v>
      </c>
      <c r="J26" s="156" t="s">
        <v>596</v>
      </c>
      <c r="K26" s="156" t="s">
        <v>295</v>
      </c>
      <c r="L26" s="141"/>
      <c r="M26" s="131"/>
    </row>
    <row r="27" spans="1:13" x14ac:dyDescent="0.35">
      <c r="A27" s="127"/>
      <c r="B27" s="127"/>
      <c r="C27" s="127"/>
      <c r="D27" s="127"/>
      <c r="E27" s="10"/>
      <c r="F27" s="156" t="s">
        <v>597</v>
      </c>
      <c r="G27" s="126"/>
      <c r="H27" s="159" t="s">
        <v>430</v>
      </c>
      <c r="I27" s="160">
        <v>3050002001</v>
      </c>
      <c r="J27" s="156" t="s">
        <v>641</v>
      </c>
      <c r="K27" s="156" t="s">
        <v>295</v>
      </c>
      <c r="L27" s="141"/>
      <c r="M27" s="131"/>
    </row>
    <row r="28" spans="1:13" x14ac:dyDescent="0.35">
      <c r="A28" s="127"/>
      <c r="B28" s="127"/>
      <c r="C28" s="127"/>
      <c r="D28" s="127"/>
      <c r="E28" s="10"/>
      <c r="F28" s="156" t="s">
        <v>598</v>
      </c>
      <c r="G28" s="126"/>
      <c r="H28" s="159" t="s">
        <v>430</v>
      </c>
      <c r="I28" s="160">
        <v>4035002</v>
      </c>
      <c r="J28" s="156" t="s">
        <v>598</v>
      </c>
      <c r="K28" s="156" t="s">
        <v>295</v>
      </c>
      <c r="L28" s="141"/>
      <c r="M28" s="131"/>
    </row>
    <row r="29" spans="1:13" x14ac:dyDescent="0.35">
      <c r="A29" s="127"/>
      <c r="B29" s="127"/>
      <c r="C29" s="127"/>
      <c r="D29" s="127"/>
      <c r="E29" s="10"/>
      <c r="F29" s="156" t="s">
        <v>599</v>
      </c>
      <c r="G29" s="126"/>
      <c r="H29" s="159" t="s">
        <v>430</v>
      </c>
      <c r="I29" s="160">
        <v>4035003</v>
      </c>
      <c r="J29" s="156" t="s">
        <v>599</v>
      </c>
      <c r="K29" s="156" t="s">
        <v>295</v>
      </c>
      <c r="L29" s="141"/>
      <c r="M29" s="131"/>
    </row>
    <row r="30" spans="1:13" x14ac:dyDescent="0.35">
      <c r="A30" s="127"/>
      <c r="B30" s="127"/>
      <c r="C30" s="127"/>
      <c r="D30" s="127"/>
      <c r="E30" s="10"/>
      <c r="F30" s="156" t="s">
        <v>600</v>
      </c>
      <c r="G30" s="126"/>
      <c r="H30" s="159" t="s">
        <v>430</v>
      </c>
      <c r="I30" s="160">
        <v>4035005001</v>
      </c>
      <c r="J30" s="156" t="s">
        <v>600</v>
      </c>
      <c r="K30" s="156" t="s">
        <v>295</v>
      </c>
      <c r="L30" s="141"/>
      <c r="M30" s="131"/>
    </row>
    <row r="31" spans="1:13" x14ac:dyDescent="0.35">
      <c r="A31" s="127"/>
      <c r="B31" s="127"/>
      <c r="C31" s="127"/>
      <c r="D31" s="127"/>
      <c r="E31" s="10"/>
      <c r="F31" s="156" t="s">
        <v>601</v>
      </c>
      <c r="G31" s="126"/>
      <c r="H31" s="159" t="s">
        <v>430</v>
      </c>
      <c r="I31" s="160">
        <v>4035005002</v>
      </c>
      <c r="J31" s="156" t="s">
        <v>601</v>
      </c>
      <c r="K31" s="156" t="s">
        <v>295</v>
      </c>
      <c r="L31" s="141"/>
      <c r="M31" s="131"/>
    </row>
    <row r="32" spans="1:13" x14ac:dyDescent="0.35">
      <c r="A32" s="127"/>
      <c r="B32" s="127"/>
      <c r="C32" s="127"/>
      <c r="D32" s="127"/>
      <c r="E32" s="10"/>
      <c r="F32" s="156" t="s">
        <v>602</v>
      </c>
      <c r="G32" s="126"/>
      <c r="H32" s="159" t="s">
        <v>430</v>
      </c>
      <c r="I32" s="160">
        <v>4035005003</v>
      </c>
      <c r="J32" s="156" t="s">
        <v>602</v>
      </c>
      <c r="K32" s="156" t="s">
        <v>295</v>
      </c>
      <c r="L32" s="141"/>
      <c r="M32" s="131"/>
    </row>
    <row r="33" spans="1:13" x14ac:dyDescent="0.35">
      <c r="A33" s="127"/>
      <c r="B33" s="127"/>
      <c r="C33" s="127"/>
      <c r="D33" s="127"/>
      <c r="E33" s="10"/>
      <c r="F33" s="156" t="s">
        <v>603</v>
      </c>
      <c r="G33" s="126"/>
      <c r="H33" s="159" t="s">
        <v>430</v>
      </c>
      <c r="I33" s="160">
        <v>4035006001001</v>
      </c>
      <c r="J33" s="156" t="s">
        <v>603</v>
      </c>
      <c r="K33" s="156" t="s">
        <v>295</v>
      </c>
      <c r="L33" s="141"/>
      <c r="M33" s="131"/>
    </row>
    <row r="34" spans="1:13" x14ac:dyDescent="0.35">
      <c r="A34" s="127"/>
      <c r="B34" s="127"/>
      <c r="C34" s="127"/>
      <c r="D34" s="127"/>
      <c r="E34" s="10"/>
      <c r="F34" s="156" t="s">
        <v>604</v>
      </c>
      <c r="G34" s="126"/>
      <c r="H34" s="159" t="s">
        <v>430</v>
      </c>
      <c r="I34" s="160">
        <v>4035006001002</v>
      </c>
      <c r="J34" s="156" t="s">
        <v>604</v>
      </c>
      <c r="K34" s="156" t="s">
        <v>295</v>
      </c>
      <c r="L34" s="141"/>
      <c r="M34" s="131"/>
    </row>
    <row r="35" spans="1:13" x14ac:dyDescent="0.35">
      <c r="A35" s="127"/>
      <c r="B35" s="127"/>
      <c r="C35" s="127"/>
      <c r="D35" s="127"/>
      <c r="E35" s="10"/>
      <c r="F35" s="156" t="s">
        <v>605</v>
      </c>
      <c r="G35" s="126"/>
      <c r="H35" s="159" t="s">
        <v>430</v>
      </c>
      <c r="I35" s="160">
        <v>4035006002001</v>
      </c>
      <c r="J35" s="156" t="s">
        <v>605</v>
      </c>
      <c r="K35" s="156" t="s">
        <v>295</v>
      </c>
      <c r="L35" s="141"/>
      <c r="M35" s="131"/>
    </row>
    <row r="36" spans="1:13" x14ac:dyDescent="0.35">
      <c r="A36" s="127"/>
      <c r="B36" s="127"/>
      <c r="C36" s="127"/>
      <c r="D36" s="127"/>
      <c r="E36" s="10"/>
      <c r="F36" s="156" t="s">
        <v>606</v>
      </c>
      <c r="G36" s="126"/>
      <c r="H36" s="159" t="s">
        <v>430</v>
      </c>
      <c r="I36" s="160">
        <v>4035006002002</v>
      </c>
      <c r="J36" s="156" t="s">
        <v>606</v>
      </c>
      <c r="K36" s="156" t="s">
        <v>295</v>
      </c>
      <c r="L36" s="141"/>
      <c r="M36" s="131"/>
    </row>
    <row r="37" spans="1:13" x14ac:dyDescent="0.35">
      <c r="A37" s="127"/>
      <c r="B37" s="127"/>
      <c r="C37" s="127"/>
      <c r="D37" s="127"/>
      <c r="E37" s="10"/>
      <c r="F37" s="156" t="s">
        <v>607</v>
      </c>
      <c r="G37" s="126"/>
      <c r="H37" s="159" t="s">
        <v>430</v>
      </c>
      <c r="I37" s="160">
        <v>4035006003001</v>
      </c>
      <c r="J37" s="156" t="s">
        <v>607</v>
      </c>
      <c r="K37" s="156" t="s">
        <v>295</v>
      </c>
      <c r="L37" s="141"/>
      <c r="M37" s="131"/>
    </row>
    <row r="38" spans="1:13" x14ac:dyDescent="0.35">
      <c r="A38" s="127"/>
      <c r="B38" s="127"/>
      <c r="C38" s="127"/>
      <c r="D38" s="127"/>
      <c r="E38" s="10"/>
      <c r="F38" s="156" t="s">
        <v>608</v>
      </c>
      <c r="G38" s="126"/>
      <c r="H38" s="159" t="s">
        <v>430</v>
      </c>
      <c r="I38" s="160">
        <v>4035006003002</v>
      </c>
      <c r="J38" s="156" t="s">
        <v>608</v>
      </c>
      <c r="K38" s="156" t="s">
        <v>295</v>
      </c>
      <c r="L38" s="141"/>
      <c r="M38" s="131"/>
    </row>
    <row r="39" spans="1:13" x14ac:dyDescent="0.35">
      <c r="A39" s="127"/>
      <c r="B39" s="127"/>
      <c r="C39" s="127"/>
      <c r="D39" s="127"/>
      <c r="E39" s="10"/>
      <c r="F39" s="156" t="s">
        <v>609</v>
      </c>
      <c r="G39" s="126"/>
      <c r="H39" s="159" t="s">
        <v>430</v>
      </c>
      <c r="I39" s="160">
        <v>4035006003003</v>
      </c>
      <c r="J39" s="156" t="s">
        <v>609</v>
      </c>
      <c r="K39" s="156" t="s">
        <v>295</v>
      </c>
      <c r="L39" s="141"/>
      <c r="M39" s="131"/>
    </row>
    <row r="40" spans="1:13" x14ac:dyDescent="0.35">
      <c r="A40" s="127"/>
      <c r="B40" s="127"/>
      <c r="C40" s="127"/>
      <c r="D40" s="127"/>
      <c r="E40" s="10"/>
      <c r="F40" s="156" t="s">
        <v>610</v>
      </c>
      <c r="G40" s="126"/>
      <c r="H40" s="159" t="s">
        <v>430</v>
      </c>
      <c r="I40" s="160">
        <v>4035008003</v>
      </c>
      <c r="J40" s="156" t="s">
        <v>610</v>
      </c>
      <c r="K40" s="156" t="s">
        <v>295</v>
      </c>
      <c r="L40" s="141"/>
      <c r="M40" s="131"/>
    </row>
    <row r="41" spans="1:13" x14ac:dyDescent="0.35">
      <c r="A41" s="127"/>
      <c r="B41" s="127"/>
      <c r="C41" s="127"/>
      <c r="D41" s="127"/>
      <c r="E41" s="10"/>
      <c r="F41" s="156" t="s">
        <v>611</v>
      </c>
      <c r="G41" s="126"/>
      <c r="H41" s="159" t="s">
        <v>430</v>
      </c>
      <c r="I41" s="160">
        <v>4035009001</v>
      </c>
      <c r="J41" s="156" t="s">
        <v>611</v>
      </c>
      <c r="K41" s="156" t="s">
        <v>295</v>
      </c>
      <c r="L41" s="141"/>
      <c r="M41" s="131"/>
    </row>
    <row r="42" spans="1:13" x14ac:dyDescent="0.35">
      <c r="A42" s="127"/>
      <c r="B42" s="127"/>
      <c r="C42" s="127"/>
      <c r="D42" s="127"/>
      <c r="E42" s="10"/>
      <c r="F42" s="156" t="s">
        <v>612</v>
      </c>
      <c r="G42" s="126"/>
      <c r="H42" s="159" t="s">
        <v>430</v>
      </c>
      <c r="I42" s="160">
        <v>4035011</v>
      </c>
      <c r="J42" s="156" t="s">
        <v>612</v>
      </c>
      <c r="K42" s="156" t="s">
        <v>295</v>
      </c>
      <c r="L42" s="141"/>
      <c r="M42" s="131"/>
    </row>
    <row r="43" spans="1:13" x14ac:dyDescent="0.35">
      <c r="A43" s="127"/>
      <c r="B43" s="127"/>
      <c r="C43" s="127"/>
      <c r="D43" s="127"/>
      <c r="E43" s="10"/>
      <c r="F43" s="156" t="s">
        <v>613</v>
      </c>
      <c r="G43" s="126"/>
      <c r="H43" s="159" t="s">
        <v>430</v>
      </c>
      <c r="I43" s="160">
        <v>4035012</v>
      </c>
      <c r="J43" s="156" t="s">
        <v>613</v>
      </c>
      <c r="K43" s="156" t="s">
        <v>295</v>
      </c>
      <c r="L43" s="141"/>
      <c r="M43" s="131"/>
    </row>
    <row r="44" spans="1:13" x14ac:dyDescent="0.35">
      <c r="A44" s="127"/>
      <c r="B44" s="127"/>
      <c r="C44" s="127"/>
      <c r="D44" s="127"/>
      <c r="E44" s="10"/>
      <c r="F44" s="156" t="s">
        <v>614</v>
      </c>
      <c r="G44" s="126"/>
      <c r="H44" s="159" t="s">
        <v>430</v>
      </c>
      <c r="I44" s="160">
        <v>4035014</v>
      </c>
      <c r="J44" s="156" t="s">
        <v>614</v>
      </c>
      <c r="K44" s="156" t="s">
        <v>295</v>
      </c>
      <c r="L44" s="141"/>
      <c r="M44" s="131"/>
    </row>
    <row r="45" spans="1:13" x14ac:dyDescent="0.35">
      <c r="A45" s="127"/>
      <c r="B45" s="127"/>
      <c r="C45" s="127"/>
      <c r="D45" s="127"/>
      <c r="E45" s="10"/>
      <c r="F45" s="156" t="s">
        <v>615</v>
      </c>
      <c r="G45" s="126"/>
      <c r="H45" s="159" t="s">
        <v>430</v>
      </c>
      <c r="I45" s="160">
        <v>4035019</v>
      </c>
      <c r="J45" s="156" t="s">
        <v>615</v>
      </c>
      <c r="K45" s="156" t="s">
        <v>295</v>
      </c>
      <c r="L45" s="141"/>
      <c r="M45" s="131"/>
    </row>
    <row r="46" spans="1:13" x14ac:dyDescent="0.35">
      <c r="A46" s="127"/>
      <c r="B46" s="127"/>
      <c r="C46" s="127"/>
      <c r="D46" s="127"/>
      <c r="E46" s="10"/>
      <c r="F46" s="156" t="s">
        <v>616</v>
      </c>
      <c r="G46" s="126"/>
      <c r="H46" s="159" t="s">
        <v>430</v>
      </c>
      <c r="I46" s="160">
        <v>4035020</v>
      </c>
      <c r="J46" s="156" t="s">
        <v>616</v>
      </c>
      <c r="K46" s="156" t="s">
        <v>295</v>
      </c>
      <c r="L46" s="141"/>
      <c r="M46" s="131"/>
    </row>
    <row r="47" spans="1:13" x14ac:dyDescent="0.35">
      <c r="A47" s="127"/>
      <c r="B47" s="127"/>
      <c r="C47" s="127"/>
      <c r="D47" s="127"/>
      <c r="E47" s="10"/>
      <c r="F47" s="156" t="s">
        <v>617</v>
      </c>
      <c r="G47" s="126"/>
      <c r="H47" s="159" t="s">
        <v>430</v>
      </c>
      <c r="I47" s="160">
        <v>4035031</v>
      </c>
      <c r="J47" s="156" t="s">
        <v>617</v>
      </c>
      <c r="K47" s="156" t="s">
        <v>295</v>
      </c>
      <c r="L47" s="141"/>
      <c r="M47" s="131"/>
    </row>
    <row r="48" spans="1:13" x14ac:dyDescent="0.35">
      <c r="A48" s="127"/>
      <c r="B48" s="127"/>
      <c r="C48" s="127"/>
      <c r="D48" s="127"/>
      <c r="E48" s="10"/>
      <c r="F48" s="156" t="s">
        <v>618</v>
      </c>
      <c r="G48" s="126"/>
      <c r="H48" s="159" t="s">
        <v>430</v>
      </c>
      <c r="I48" s="160">
        <v>4035032012</v>
      </c>
      <c r="J48" s="156" t="s">
        <v>618</v>
      </c>
      <c r="K48" s="156" t="s">
        <v>295</v>
      </c>
      <c r="L48" s="141"/>
      <c r="M48" s="131"/>
    </row>
    <row r="49" spans="1:13" x14ac:dyDescent="0.35">
      <c r="A49" s="127"/>
      <c r="B49" s="127"/>
      <c r="C49" s="127"/>
      <c r="D49" s="127"/>
      <c r="E49" s="10"/>
      <c r="F49" s="156" t="s">
        <v>619</v>
      </c>
      <c r="G49" s="126"/>
      <c r="H49" s="159" t="s">
        <v>430</v>
      </c>
      <c r="I49" s="160">
        <v>4035032021</v>
      </c>
      <c r="J49" s="156" t="s">
        <v>619</v>
      </c>
      <c r="K49" s="156" t="s">
        <v>295</v>
      </c>
      <c r="L49" s="141"/>
      <c r="M49" s="131"/>
    </row>
    <row r="50" spans="1:13" x14ac:dyDescent="0.35">
      <c r="A50" s="127"/>
      <c r="B50" s="127"/>
      <c r="C50" s="127"/>
      <c r="D50" s="127"/>
      <c r="E50" s="10"/>
      <c r="F50" s="156" t="s">
        <v>620</v>
      </c>
      <c r="G50" s="126"/>
      <c r="H50" s="159" t="s">
        <v>430</v>
      </c>
      <c r="I50" s="160">
        <v>4035032033</v>
      </c>
      <c r="J50" s="156" t="s">
        <v>620</v>
      </c>
      <c r="K50" s="156" t="s">
        <v>295</v>
      </c>
      <c r="L50" s="141"/>
      <c r="M50" s="131"/>
    </row>
    <row r="51" spans="1:13" x14ac:dyDescent="0.35">
      <c r="A51" s="127"/>
      <c r="B51" s="127"/>
      <c r="C51" s="127"/>
      <c r="D51" s="127"/>
      <c r="E51" s="10"/>
      <c r="F51" s="156" t="s">
        <v>621</v>
      </c>
      <c r="G51" s="126"/>
      <c r="H51" s="159" t="s">
        <v>430</v>
      </c>
      <c r="I51" s="160">
        <v>4035055</v>
      </c>
      <c r="J51" s="156" t="s">
        <v>621</v>
      </c>
      <c r="K51" s="156" t="s">
        <v>295</v>
      </c>
      <c r="L51" s="141"/>
      <c r="M51" s="131"/>
    </row>
    <row r="52" spans="1:13" x14ac:dyDescent="0.35">
      <c r="A52" s="127"/>
      <c r="B52" s="127"/>
      <c r="C52" s="127"/>
      <c r="D52" s="127"/>
      <c r="E52" s="10"/>
      <c r="F52" s="156" t="s">
        <v>622</v>
      </c>
      <c r="G52" s="126"/>
      <c r="H52" s="159" t="s">
        <v>430</v>
      </c>
      <c r="I52" s="160">
        <v>4035059</v>
      </c>
      <c r="J52" s="156" t="s">
        <v>622</v>
      </c>
      <c r="K52" s="156" t="s">
        <v>295</v>
      </c>
      <c r="L52" s="141"/>
      <c r="M52" s="131"/>
    </row>
    <row r="53" spans="1:13" x14ac:dyDescent="0.35">
      <c r="A53" s="127"/>
      <c r="B53" s="127"/>
      <c r="C53" s="127"/>
      <c r="D53" s="127"/>
      <c r="E53" s="10"/>
      <c r="F53" s="156" t="s">
        <v>623</v>
      </c>
      <c r="G53" s="126"/>
      <c r="H53" s="159" t="s">
        <v>430</v>
      </c>
      <c r="I53" s="160">
        <v>4035060</v>
      </c>
      <c r="J53" s="156" t="s">
        <v>623</v>
      </c>
      <c r="K53" s="156" t="s">
        <v>295</v>
      </c>
      <c r="L53" s="141"/>
      <c r="M53" s="131"/>
    </row>
    <row r="54" spans="1:13" x14ac:dyDescent="0.35">
      <c r="A54" s="127"/>
      <c r="B54" s="127"/>
      <c r="C54" s="127"/>
      <c r="D54" s="127"/>
      <c r="E54" s="10"/>
      <c r="F54" s="156" t="s">
        <v>624</v>
      </c>
      <c r="G54" s="126"/>
      <c r="H54" s="159" t="s">
        <v>430</v>
      </c>
      <c r="I54" s="160">
        <v>4035061</v>
      </c>
      <c r="J54" s="156" t="s">
        <v>624</v>
      </c>
      <c r="K54" s="156" t="s">
        <v>295</v>
      </c>
      <c r="L54" s="141"/>
      <c r="M54" s="131"/>
    </row>
    <row r="55" spans="1:13" x14ac:dyDescent="0.35">
      <c r="A55" s="127"/>
      <c r="B55" s="127"/>
      <c r="C55" s="127"/>
      <c r="D55" s="127"/>
      <c r="E55" s="10"/>
      <c r="F55" s="156" t="s">
        <v>625</v>
      </c>
      <c r="G55" s="126"/>
      <c r="H55" s="159" t="s">
        <v>430</v>
      </c>
      <c r="I55" s="160">
        <v>4035063</v>
      </c>
      <c r="J55" s="156" t="s">
        <v>625</v>
      </c>
      <c r="K55" s="156" t="s">
        <v>295</v>
      </c>
      <c r="L55" s="141"/>
      <c r="M55" s="131"/>
    </row>
    <row r="56" spans="1:13" x14ac:dyDescent="0.35">
      <c r="A56" s="127"/>
      <c r="B56" s="127"/>
      <c r="C56" s="127"/>
      <c r="D56" s="127"/>
      <c r="E56" s="10"/>
      <c r="F56" s="156" t="s">
        <v>626</v>
      </c>
      <c r="G56" s="126"/>
      <c r="H56" s="159" t="s">
        <v>430</v>
      </c>
      <c r="I56" s="160">
        <v>4035064</v>
      </c>
      <c r="J56" s="156" t="s">
        <v>626</v>
      </c>
      <c r="K56" s="156" t="s">
        <v>295</v>
      </c>
      <c r="L56" s="141"/>
      <c r="M56" s="131"/>
    </row>
    <row r="57" spans="1:13" x14ac:dyDescent="0.35">
      <c r="A57" s="127"/>
      <c r="B57" s="127"/>
      <c r="C57" s="127"/>
      <c r="D57" s="127"/>
      <c r="E57" s="10"/>
      <c r="F57" s="156" t="s">
        <v>627</v>
      </c>
      <c r="G57" s="126"/>
      <c r="H57" s="159" t="s">
        <v>430</v>
      </c>
      <c r="I57" s="160">
        <v>4035067</v>
      </c>
      <c r="J57" s="156" t="s">
        <v>627</v>
      </c>
      <c r="K57" s="156" t="s">
        <v>295</v>
      </c>
      <c r="L57" s="141"/>
      <c r="M57" s="131"/>
    </row>
    <row r="58" spans="1:13" x14ac:dyDescent="0.35">
      <c r="A58" s="127"/>
      <c r="B58" s="127"/>
      <c r="C58" s="127"/>
      <c r="D58" s="127"/>
      <c r="E58" s="10"/>
      <c r="F58" s="156" t="s">
        <v>628</v>
      </c>
      <c r="G58" s="126"/>
      <c r="H58" s="159" t="s">
        <v>430</v>
      </c>
      <c r="I58" s="160">
        <v>4035068</v>
      </c>
      <c r="J58" s="156" t="s">
        <v>628</v>
      </c>
      <c r="K58" s="156" t="s">
        <v>295</v>
      </c>
      <c r="L58" s="141"/>
      <c r="M58" s="131"/>
    </row>
    <row r="59" spans="1:13" x14ac:dyDescent="0.35">
      <c r="A59" s="127"/>
      <c r="B59" s="127"/>
      <c r="C59" s="127"/>
      <c r="D59" s="127"/>
      <c r="E59" s="10"/>
      <c r="F59" s="156" t="s">
        <v>629</v>
      </c>
      <c r="G59" s="126"/>
      <c r="H59" s="159" t="s">
        <v>430</v>
      </c>
      <c r="I59" s="160">
        <v>4035092001</v>
      </c>
      <c r="J59" s="156" t="s">
        <v>629</v>
      </c>
      <c r="K59" s="156" t="s">
        <v>295</v>
      </c>
      <c r="L59" s="141"/>
      <c r="M59" s="131"/>
    </row>
    <row r="60" spans="1:13" x14ac:dyDescent="0.35">
      <c r="A60" s="127"/>
      <c r="B60" s="127"/>
      <c r="C60" s="127"/>
      <c r="D60" s="127"/>
      <c r="E60" s="10"/>
      <c r="F60" s="156" t="s">
        <v>630</v>
      </c>
      <c r="G60" s="126"/>
      <c r="H60" s="159" t="s">
        <v>430</v>
      </c>
      <c r="I60" s="160">
        <v>4035092002</v>
      </c>
      <c r="J60" s="156" t="s">
        <v>630</v>
      </c>
      <c r="K60" s="156" t="s">
        <v>295</v>
      </c>
      <c r="L60" s="141"/>
      <c r="M60" s="131"/>
    </row>
    <row r="61" spans="1:13" x14ac:dyDescent="0.35">
      <c r="A61" s="127"/>
      <c r="B61" s="127"/>
      <c r="C61" s="127"/>
      <c r="D61" s="127"/>
      <c r="E61" s="10"/>
      <c r="F61" s="156" t="s">
        <v>631</v>
      </c>
      <c r="G61" s="126"/>
      <c r="H61" s="159" t="s">
        <v>430</v>
      </c>
      <c r="I61" s="160">
        <v>4035099001</v>
      </c>
      <c r="J61" s="156" t="s">
        <v>631</v>
      </c>
      <c r="K61" s="156" t="s">
        <v>295</v>
      </c>
      <c r="L61" s="141"/>
      <c r="M61" s="131"/>
    </row>
    <row r="62" spans="1:13" x14ac:dyDescent="0.35">
      <c r="A62" s="127"/>
      <c r="B62" s="127"/>
      <c r="C62" s="127"/>
      <c r="D62" s="127"/>
      <c r="E62" s="10"/>
      <c r="F62" s="156" t="s">
        <v>632</v>
      </c>
      <c r="G62" s="126"/>
      <c r="H62" s="159" t="s">
        <v>430</v>
      </c>
      <c r="I62" s="160">
        <v>4035099003</v>
      </c>
      <c r="J62" s="156" t="s">
        <v>632</v>
      </c>
      <c r="K62" s="156" t="s">
        <v>295</v>
      </c>
      <c r="L62" s="141"/>
      <c r="M62" s="131"/>
    </row>
    <row r="63" spans="1:13" x14ac:dyDescent="0.35">
      <c r="A63" s="127"/>
      <c r="B63" s="127"/>
      <c r="C63" s="127"/>
      <c r="D63" s="127"/>
      <c r="E63" s="10"/>
      <c r="F63" s="156" t="s">
        <v>633</v>
      </c>
      <c r="G63" s="126"/>
      <c r="H63" s="159" t="s">
        <v>430</v>
      </c>
      <c r="I63" s="160">
        <v>4035099006</v>
      </c>
      <c r="J63" s="156" t="s">
        <v>633</v>
      </c>
      <c r="K63" s="156" t="s">
        <v>295</v>
      </c>
      <c r="L63" s="141"/>
      <c r="M63" s="131"/>
    </row>
    <row r="64" spans="1:13" x14ac:dyDescent="0.35">
      <c r="A64" s="127"/>
      <c r="B64" s="127"/>
      <c r="C64" s="127"/>
      <c r="D64" s="127"/>
      <c r="E64" s="10"/>
      <c r="F64" s="156" t="s">
        <v>634</v>
      </c>
      <c r="G64" s="126"/>
      <c r="H64" s="159" t="s">
        <v>430</v>
      </c>
      <c r="I64" s="160">
        <v>4035099095</v>
      </c>
      <c r="J64" s="156" t="s">
        <v>634</v>
      </c>
      <c r="K64" s="156" t="s">
        <v>295</v>
      </c>
      <c r="L64" s="141"/>
      <c r="M64" s="131"/>
    </row>
    <row r="65" spans="1:13" x14ac:dyDescent="0.35">
      <c r="A65" s="127"/>
      <c r="B65" s="127"/>
      <c r="C65" s="127"/>
      <c r="D65" s="127"/>
      <c r="E65" s="10"/>
      <c r="F65" s="156" t="s">
        <v>635</v>
      </c>
      <c r="G65" s="126"/>
      <c r="H65" s="159" t="s">
        <v>430</v>
      </c>
      <c r="I65" s="160">
        <v>4035099099</v>
      </c>
      <c r="J65" s="156" t="s">
        <v>635</v>
      </c>
      <c r="K65" s="156" t="s">
        <v>295</v>
      </c>
      <c r="L65" s="141"/>
      <c r="M65" s="131"/>
    </row>
    <row r="66" spans="1:13" x14ac:dyDescent="0.35">
      <c r="A66" s="127"/>
      <c r="B66" s="127"/>
      <c r="C66" s="127"/>
      <c r="D66" s="127"/>
      <c r="E66" s="10"/>
      <c r="F66" s="156" t="s">
        <v>636</v>
      </c>
      <c r="G66" s="126"/>
      <c r="H66" s="159" t="s">
        <v>430</v>
      </c>
      <c r="I66" s="160">
        <v>4035099004</v>
      </c>
      <c r="J66" s="156" t="s">
        <v>636</v>
      </c>
      <c r="K66" s="156" t="s">
        <v>295</v>
      </c>
      <c r="L66" s="141"/>
      <c r="M66" s="131"/>
    </row>
    <row r="67" spans="1:13" x14ac:dyDescent="0.35">
      <c r="A67" s="127"/>
      <c r="B67" s="127"/>
      <c r="C67" s="127"/>
      <c r="D67" s="127"/>
      <c r="E67" s="10"/>
      <c r="F67" s="156" t="s">
        <v>637</v>
      </c>
      <c r="G67" s="126"/>
      <c r="H67" s="159" t="s">
        <v>430</v>
      </c>
      <c r="I67" s="160">
        <v>4035099005</v>
      </c>
      <c r="J67" s="156" t="s">
        <v>637</v>
      </c>
      <c r="K67" s="156" t="s">
        <v>295</v>
      </c>
      <c r="L67" s="141"/>
      <c r="M67" s="131"/>
    </row>
    <row r="68" spans="1:13" x14ac:dyDescent="0.35">
      <c r="A68" s="127"/>
      <c r="B68" s="127"/>
      <c r="C68" s="127"/>
      <c r="D68" s="127"/>
      <c r="E68" s="10"/>
      <c r="F68" s="156" t="s">
        <v>638</v>
      </c>
      <c r="G68" s="126"/>
      <c r="H68" s="159" t="s">
        <v>430</v>
      </c>
      <c r="I68" s="160">
        <v>2012001</v>
      </c>
      <c r="J68" s="156" t="s">
        <v>642</v>
      </c>
      <c r="K68" s="156" t="s">
        <v>295</v>
      </c>
      <c r="L68" s="141"/>
      <c r="M68" s="131"/>
    </row>
    <row r="69" spans="1:13" x14ac:dyDescent="0.35">
      <c r="A69" s="127"/>
      <c r="B69" s="127"/>
      <c r="C69" s="127"/>
      <c r="D69" s="127"/>
      <c r="E69" s="10"/>
      <c r="F69" s="156" t="s">
        <v>639</v>
      </c>
      <c r="G69" s="126"/>
      <c r="H69" s="159" t="s">
        <v>430</v>
      </c>
      <c r="I69" s="160">
        <v>2220020002</v>
      </c>
      <c r="J69" s="156" t="s">
        <v>639</v>
      </c>
      <c r="K69" s="156" t="s">
        <v>295</v>
      </c>
      <c r="L69" s="141"/>
      <c r="M69" s="131"/>
    </row>
    <row r="70" spans="1:13" x14ac:dyDescent="0.35">
      <c r="A70" s="127"/>
      <c r="B70" s="127"/>
      <c r="C70" s="127"/>
      <c r="D70" s="127"/>
      <c r="E70" s="10"/>
      <c r="F70" s="156" t="s">
        <v>640</v>
      </c>
      <c r="G70" s="126"/>
      <c r="H70" s="159" t="s">
        <v>430</v>
      </c>
      <c r="I70" s="160">
        <v>2220019003</v>
      </c>
      <c r="J70" s="156" t="s">
        <v>640</v>
      </c>
      <c r="K70" s="156" t="s">
        <v>295</v>
      </c>
      <c r="L70" s="141"/>
      <c r="M70" s="131"/>
    </row>
    <row r="71" spans="1:13" x14ac:dyDescent="0.35">
      <c r="A71" s="127"/>
      <c r="B71" s="127"/>
      <c r="C71" s="127"/>
      <c r="D71" s="127"/>
      <c r="E71" s="10" t="s">
        <v>426</v>
      </c>
      <c r="F71" s="10" t="s">
        <v>300</v>
      </c>
      <c r="G71" s="126"/>
      <c r="H71" s="12" t="s">
        <v>430</v>
      </c>
      <c r="I71" s="10" t="s">
        <v>348</v>
      </c>
      <c r="J71" s="10" t="s">
        <v>348</v>
      </c>
      <c r="K71" s="10" t="s">
        <v>295</v>
      </c>
      <c r="L71" s="141"/>
      <c r="M71" s="131"/>
    </row>
    <row r="72" spans="1:13" x14ac:dyDescent="0.35">
      <c r="A72" s="127"/>
      <c r="B72" s="127"/>
      <c r="C72" s="127"/>
      <c r="D72" s="127"/>
      <c r="E72" s="10" t="s">
        <v>426</v>
      </c>
      <c r="F72" s="10" t="s">
        <v>301</v>
      </c>
      <c r="G72" s="126"/>
      <c r="H72" s="12" t="s">
        <v>430</v>
      </c>
      <c r="I72" s="10" t="s">
        <v>302</v>
      </c>
      <c r="J72" s="10" t="s">
        <v>302</v>
      </c>
      <c r="K72" s="10" t="s">
        <v>295</v>
      </c>
      <c r="L72" s="141"/>
      <c r="M72" s="131"/>
    </row>
    <row r="73" spans="1:13" x14ac:dyDescent="0.35">
      <c r="A73" s="127"/>
      <c r="B73" s="127"/>
      <c r="C73" s="127"/>
      <c r="D73" s="127"/>
      <c r="E73" s="10" t="s">
        <v>426</v>
      </c>
      <c r="F73" s="10" t="s">
        <v>506</v>
      </c>
      <c r="G73" s="17"/>
      <c r="H73" s="44" t="s">
        <v>508</v>
      </c>
      <c r="I73" s="44" t="s">
        <v>507</v>
      </c>
      <c r="J73" s="44" t="s">
        <v>507</v>
      </c>
      <c r="K73" s="10" t="s">
        <v>295</v>
      </c>
      <c r="L73" s="141"/>
      <c r="M73" s="131"/>
    </row>
    <row r="74" spans="1:13" x14ac:dyDescent="0.35">
      <c r="A74" s="127"/>
      <c r="B74" s="127"/>
      <c r="C74" s="127"/>
      <c r="D74" s="127"/>
      <c r="E74" s="32"/>
      <c r="F74" s="14" t="s">
        <v>450</v>
      </c>
      <c r="G74" s="123"/>
      <c r="H74" s="134" t="s">
        <v>493</v>
      </c>
      <c r="I74" s="132" t="s">
        <v>6</v>
      </c>
      <c r="J74" s="132"/>
      <c r="K74" s="132"/>
      <c r="L74" s="131"/>
      <c r="M74" s="131"/>
    </row>
    <row r="75" spans="1:13" x14ac:dyDescent="0.35">
      <c r="A75" s="127"/>
      <c r="B75" s="127"/>
      <c r="C75" s="127"/>
      <c r="D75" s="127"/>
      <c r="E75" s="32"/>
      <c r="F75" s="14" t="s">
        <v>451</v>
      </c>
      <c r="G75" s="127"/>
      <c r="H75" s="135"/>
      <c r="I75" s="131"/>
      <c r="J75" s="131"/>
      <c r="K75" s="131"/>
      <c r="L75" s="131"/>
      <c r="M75" s="131"/>
    </row>
    <row r="76" spans="1:13" x14ac:dyDescent="0.35">
      <c r="A76" s="127"/>
      <c r="B76" s="127"/>
      <c r="C76" s="127"/>
      <c r="D76" s="127"/>
      <c r="E76" s="32"/>
      <c r="F76" s="14" t="s">
        <v>452</v>
      </c>
      <c r="G76" s="127"/>
      <c r="H76" s="135"/>
      <c r="I76" s="131"/>
      <c r="J76" s="131"/>
      <c r="K76" s="131"/>
      <c r="L76" s="131"/>
      <c r="M76" s="131"/>
    </row>
    <row r="77" spans="1:13" x14ac:dyDescent="0.35">
      <c r="A77" s="127"/>
      <c r="B77" s="127"/>
      <c r="C77" s="127"/>
      <c r="D77" s="127"/>
      <c r="E77" s="32"/>
      <c r="F77" s="14" t="s">
        <v>453</v>
      </c>
      <c r="G77" s="127"/>
      <c r="H77" s="135"/>
      <c r="I77" s="131"/>
      <c r="J77" s="131"/>
      <c r="K77" s="131"/>
      <c r="L77" s="131"/>
      <c r="M77" s="131"/>
    </row>
    <row r="78" spans="1:13" x14ac:dyDescent="0.35">
      <c r="A78" s="127"/>
      <c r="B78" s="127"/>
      <c r="C78" s="127"/>
      <c r="D78" s="127"/>
      <c r="E78" s="32"/>
      <c r="F78" s="14" t="s">
        <v>454</v>
      </c>
      <c r="G78" s="127"/>
      <c r="H78" s="135"/>
      <c r="I78" s="131"/>
      <c r="J78" s="131"/>
      <c r="K78" s="131"/>
      <c r="L78" s="131"/>
      <c r="M78" s="131"/>
    </row>
    <row r="79" spans="1:13" x14ac:dyDescent="0.35">
      <c r="A79" s="127"/>
      <c r="B79" s="127"/>
      <c r="C79" s="127"/>
      <c r="D79" s="127"/>
      <c r="E79" s="32"/>
      <c r="F79" s="14" t="s">
        <v>455</v>
      </c>
      <c r="G79" s="127"/>
      <c r="H79" s="135"/>
      <c r="I79" s="131"/>
      <c r="J79" s="131"/>
      <c r="K79" s="131"/>
      <c r="L79" s="131"/>
      <c r="M79" s="131"/>
    </row>
    <row r="80" spans="1:13" x14ac:dyDescent="0.35">
      <c r="A80" s="127"/>
      <c r="B80" s="127"/>
      <c r="C80" s="127"/>
      <c r="D80" s="127"/>
      <c r="E80" s="32"/>
      <c r="F80" s="14" t="s">
        <v>456</v>
      </c>
      <c r="G80" s="127"/>
      <c r="H80" s="135"/>
      <c r="I80" s="131"/>
      <c r="J80" s="131"/>
      <c r="K80" s="131"/>
      <c r="L80" s="131"/>
      <c r="M80" s="131"/>
    </row>
    <row r="81" spans="1:13" x14ac:dyDescent="0.35">
      <c r="A81" s="127"/>
      <c r="B81" s="127"/>
      <c r="C81" s="127"/>
      <c r="D81" s="127"/>
      <c r="E81" s="32"/>
      <c r="F81" s="14" t="s">
        <v>457</v>
      </c>
      <c r="G81" s="127"/>
      <c r="H81" s="135"/>
      <c r="I81" s="131"/>
      <c r="J81" s="131"/>
      <c r="K81" s="131"/>
      <c r="L81" s="131"/>
      <c r="M81" s="131"/>
    </row>
    <row r="82" spans="1:13" x14ac:dyDescent="0.35">
      <c r="A82" s="127"/>
      <c r="B82" s="127"/>
      <c r="C82" s="127"/>
      <c r="D82" s="127"/>
      <c r="E82" s="32"/>
      <c r="F82" s="14" t="s">
        <v>522</v>
      </c>
      <c r="G82" s="127"/>
      <c r="H82" s="135"/>
      <c r="I82" s="131"/>
      <c r="J82" s="131"/>
      <c r="K82" s="131"/>
      <c r="L82" s="131"/>
      <c r="M82" s="131"/>
    </row>
    <row r="83" spans="1:13" x14ac:dyDescent="0.35">
      <c r="A83" s="127"/>
      <c r="B83" s="127"/>
      <c r="C83" s="127"/>
      <c r="D83" s="127"/>
      <c r="E83" s="32"/>
      <c r="F83" s="14" t="s">
        <v>458</v>
      </c>
      <c r="G83" s="124"/>
      <c r="H83" s="136"/>
      <c r="I83" s="133"/>
      <c r="J83" s="133"/>
      <c r="K83" s="133"/>
      <c r="L83" s="131"/>
      <c r="M83" s="131"/>
    </row>
    <row r="84" spans="1:13" x14ac:dyDescent="0.35">
      <c r="A84" s="127"/>
      <c r="B84" s="127"/>
      <c r="C84" s="127"/>
      <c r="D84" s="127"/>
      <c r="E84" s="32"/>
      <c r="F84" s="14" t="s">
        <v>459</v>
      </c>
      <c r="G84" s="35" t="s">
        <v>277</v>
      </c>
      <c r="H84" s="12" t="s">
        <v>492</v>
      </c>
      <c r="I84" s="10" t="s">
        <v>390</v>
      </c>
      <c r="J84" s="10" t="s">
        <v>390</v>
      </c>
      <c r="K84" s="10" t="s">
        <v>295</v>
      </c>
      <c r="L84" s="36"/>
      <c r="M84" s="131"/>
    </row>
    <row r="85" spans="1:13" x14ac:dyDescent="0.35">
      <c r="A85" s="127"/>
      <c r="B85" s="127"/>
      <c r="C85" s="127"/>
      <c r="D85" s="127"/>
      <c r="E85" s="32"/>
      <c r="F85" s="14" t="s">
        <v>460</v>
      </c>
      <c r="G85" s="35" t="s">
        <v>277</v>
      </c>
      <c r="H85" s="12" t="s">
        <v>491</v>
      </c>
      <c r="I85" s="2" t="s">
        <v>489</v>
      </c>
      <c r="J85" s="4" t="s">
        <v>490</v>
      </c>
      <c r="K85" s="10" t="s">
        <v>295</v>
      </c>
      <c r="L85" s="36"/>
      <c r="M85" s="131"/>
    </row>
    <row r="86" spans="1:13" x14ac:dyDescent="0.35">
      <c r="A86" s="127"/>
      <c r="B86" s="124"/>
      <c r="C86" s="124"/>
      <c r="D86" s="124"/>
      <c r="E86" s="106"/>
      <c r="F86" s="107" t="s">
        <v>589</v>
      </c>
      <c r="G86" s="108" t="s">
        <v>277</v>
      </c>
      <c r="H86" s="109" t="s">
        <v>590</v>
      </c>
      <c r="I86" s="110">
        <v>2220042001</v>
      </c>
      <c r="J86" s="107" t="s">
        <v>589</v>
      </c>
      <c r="K86" s="111" t="s">
        <v>295</v>
      </c>
      <c r="L86" s="36"/>
      <c r="M86" s="133"/>
    </row>
    <row r="87" spans="1:13" x14ac:dyDescent="0.35">
      <c r="A87" s="127"/>
      <c r="B87" s="130" t="s">
        <v>304</v>
      </c>
      <c r="C87" s="126">
        <v>2</v>
      </c>
      <c r="D87" s="123" t="s">
        <v>355</v>
      </c>
      <c r="E87" s="10">
        <v>16</v>
      </c>
      <c r="F87" s="10" t="s">
        <v>200</v>
      </c>
      <c r="G87" s="10" t="s">
        <v>276</v>
      </c>
      <c r="H87" s="12" t="s">
        <v>431</v>
      </c>
      <c r="I87" s="10" t="s">
        <v>305</v>
      </c>
      <c r="J87" s="10" t="s">
        <v>305</v>
      </c>
      <c r="K87" s="10" t="s">
        <v>397</v>
      </c>
      <c r="L87" s="121"/>
      <c r="M87" s="123" t="s">
        <v>439</v>
      </c>
    </row>
    <row r="88" spans="1:13" x14ac:dyDescent="0.35">
      <c r="A88" s="127"/>
      <c r="B88" s="130"/>
      <c r="C88" s="126"/>
      <c r="D88" s="124"/>
      <c r="E88" s="10">
        <v>16</v>
      </c>
      <c r="F88" s="10" t="s">
        <v>200</v>
      </c>
      <c r="G88" s="10" t="s">
        <v>277</v>
      </c>
      <c r="H88" s="12" t="s">
        <v>431</v>
      </c>
      <c r="I88" s="21" t="s">
        <v>21</v>
      </c>
      <c r="J88" s="10" t="s">
        <v>22</v>
      </c>
      <c r="K88" s="10" t="s">
        <v>397</v>
      </c>
      <c r="L88" s="122"/>
      <c r="M88" s="124"/>
    </row>
    <row r="89" spans="1:13" x14ac:dyDescent="0.35">
      <c r="A89" s="10"/>
      <c r="B89" s="10"/>
      <c r="C89" s="35"/>
      <c r="D89" s="35"/>
      <c r="E89" s="10"/>
      <c r="F89" s="10"/>
      <c r="G89" s="10"/>
      <c r="H89" s="10"/>
      <c r="I89" s="10"/>
      <c r="J89" s="10"/>
      <c r="K89" s="10"/>
      <c r="L89" s="10"/>
      <c r="M89" s="10" t="s">
        <v>440</v>
      </c>
    </row>
    <row r="90" spans="1:13" x14ac:dyDescent="0.35">
      <c r="A90" s="127" t="s">
        <v>427</v>
      </c>
      <c r="B90" s="126" t="s">
        <v>306</v>
      </c>
      <c r="C90" s="126">
        <v>1</v>
      </c>
      <c r="D90" s="123" t="s">
        <v>355</v>
      </c>
      <c r="E90" s="10"/>
      <c r="F90" s="10"/>
      <c r="G90" s="10" t="s">
        <v>276</v>
      </c>
      <c r="H90" s="126" t="s">
        <v>396</v>
      </c>
      <c r="I90" s="45" t="s">
        <v>564</v>
      </c>
      <c r="J90" s="46" t="s">
        <v>23</v>
      </c>
      <c r="K90" s="10" t="s">
        <v>398</v>
      </c>
      <c r="L90" s="125" t="s">
        <v>495</v>
      </c>
      <c r="M90" s="126" t="s">
        <v>439</v>
      </c>
    </row>
    <row r="91" spans="1:13" x14ac:dyDescent="0.35">
      <c r="A91" s="124"/>
      <c r="B91" s="126"/>
      <c r="C91" s="126"/>
      <c r="D91" s="124"/>
      <c r="E91" s="10"/>
      <c r="F91" s="10"/>
      <c r="G91" s="10" t="s">
        <v>277</v>
      </c>
      <c r="H91" s="126"/>
      <c r="I91" s="45" t="s">
        <v>24</v>
      </c>
      <c r="J91" s="46" t="s">
        <v>25</v>
      </c>
      <c r="K91" s="10" t="s">
        <v>398</v>
      </c>
      <c r="L91" s="125"/>
      <c r="M91" s="126"/>
    </row>
  </sheetData>
  <mergeCells count="31">
    <mergeCell ref="M2:M86"/>
    <mergeCell ref="B2:B86"/>
    <mergeCell ref="C2:C86"/>
    <mergeCell ref="D2:D86"/>
    <mergeCell ref="G74:G83"/>
    <mergeCell ref="H74:H83"/>
    <mergeCell ref="E15:F15"/>
    <mergeCell ref="G2:G14"/>
    <mergeCell ref="H2:H14"/>
    <mergeCell ref="I2:I14"/>
    <mergeCell ref="K2:K14"/>
    <mergeCell ref="I74:I83"/>
    <mergeCell ref="J74:J83"/>
    <mergeCell ref="K74:K83"/>
    <mergeCell ref="L16:L73"/>
    <mergeCell ref="L87:L88"/>
    <mergeCell ref="M87:M88"/>
    <mergeCell ref="L90:L91"/>
    <mergeCell ref="M90:M91"/>
    <mergeCell ref="A2:A88"/>
    <mergeCell ref="A90:A91"/>
    <mergeCell ref="L2:L14"/>
    <mergeCell ref="D90:D91"/>
    <mergeCell ref="G16:G72"/>
    <mergeCell ref="H90:H91"/>
    <mergeCell ref="B90:B91"/>
    <mergeCell ref="D87:D88"/>
    <mergeCell ref="B87:B88"/>
    <mergeCell ref="C87:C88"/>
    <mergeCell ref="C90:C91"/>
    <mergeCell ref="L74:L8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EC49-9FCD-4957-9143-8EC00098317B}">
  <dimension ref="A1:F18"/>
  <sheetViews>
    <sheetView topLeftCell="B1" workbookViewId="0">
      <selection activeCell="G14" sqref="G14"/>
    </sheetView>
  </sheetViews>
  <sheetFormatPr defaultColWidth="21.7265625" defaultRowHeight="14.5" x14ac:dyDescent="0.35"/>
  <cols>
    <col min="1" max="1" width="29.7265625" customWidth="1"/>
    <col min="3" max="3" width="29" bestFit="1" customWidth="1"/>
    <col min="4" max="4" width="53.54296875" bestFit="1" customWidth="1"/>
    <col min="5" max="5" width="11" customWidth="1"/>
    <col min="6" max="6" width="6.81640625" customWidth="1"/>
  </cols>
  <sheetData>
    <row r="1" spans="1:6" ht="14.5" customHeight="1" x14ac:dyDescent="0.35">
      <c r="A1" s="130" t="s">
        <v>515</v>
      </c>
      <c r="B1" s="37"/>
      <c r="C1" s="10" t="s">
        <v>510</v>
      </c>
      <c r="D1" s="10" t="s">
        <v>509</v>
      </c>
      <c r="E1" s="40" t="s">
        <v>511</v>
      </c>
      <c r="F1" s="10" t="s">
        <v>512</v>
      </c>
    </row>
    <row r="2" spans="1:6" x14ac:dyDescent="0.35">
      <c r="A2" s="130"/>
      <c r="B2" s="14" t="s">
        <v>519</v>
      </c>
      <c r="C2" s="10" t="s">
        <v>514</v>
      </c>
      <c r="D2" s="10" t="s">
        <v>513</v>
      </c>
      <c r="E2" s="40">
        <v>5000</v>
      </c>
      <c r="F2" s="10"/>
    </row>
    <row r="3" spans="1:6" x14ac:dyDescent="0.35">
      <c r="A3" s="130"/>
      <c r="B3" s="142" t="s">
        <v>516</v>
      </c>
      <c r="C3" s="10" t="s">
        <v>259</v>
      </c>
      <c r="D3" s="10" t="s">
        <v>260</v>
      </c>
      <c r="E3" s="40"/>
      <c r="F3" s="10">
        <v>2000</v>
      </c>
    </row>
    <row r="4" spans="1:6" x14ac:dyDescent="0.35">
      <c r="A4" s="130"/>
      <c r="B4" s="143"/>
      <c r="C4" s="10" t="s">
        <v>261</v>
      </c>
      <c r="D4" s="10" t="s">
        <v>262</v>
      </c>
      <c r="E4" s="40">
        <v>200</v>
      </c>
      <c r="F4" s="10"/>
    </row>
    <row r="5" spans="1:6" x14ac:dyDescent="0.35">
      <c r="A5" s="130"/>
      <c r="B5" s="144"/>
      <c r="C5" s="10" t="s">
        <v>263</v>
      </c>
      <c r="D5" s="10" t="s">
        <v>264</v>
      </c>
      <c r="E5" s="40"/>
      <c r="F5" s="10">
        <v>200</v>
      </c>
    </row>
    <row r="6" spans="1:6" x14ac:dyDescent="0.35">
      <c r="A6" s="130"/>
      <c r="B6" s="145" t="s">
        <v>517</v>
      </c>
      <c r="C6" s="10" t="s">
        <v>259</v>
      </c>
      <c r="D6" s="10" t="s">
        <v>260</v>
      </c>
      <c r="E6" s="40">
        <v>40</v>
      </c>
      <c r="F6" s="10"/>
    </row>
    <row r="7" spans="1:6" x14ac:dyDescent="0.35">
      <c r="A7" s="130"/>
      <c r="B7" s="145"/>
      <c r="C7" s="10" t="s">
        <v>261</v>
      </c>
      <c r="D7" s="10" t="s">
        <v>262</v>
      </c>
      <c r="E7" s="40"/>
      <c r="F7" s="10">
        <v>40</v>
      </c>
    </row>
    <row r="8" spans="1:6" x14ac:dyDescent="0.35">
      <c r="A8" s="130"/>
      <c r="B8" s="145"/>
      <c r="C8" s="10" t="s">
        <v>259</v>
      </c>
      <c r="D8" s="10" t="s">
        <v>260</v>
      </c>
      <c r="E8" s="40"/>
      <c r="F8" s="10">
        <v>40</v>
      </c>
    </row>
    <row r="9" spans="1:6" x14ac:dyDescent="0.35">
      <c r="A9" s="130"/>
      <c r="B9" s="145"/>
      <c r="C9" s="10" t="s">
        <v>261</v>
      </c>
      <c r="D9" s="10" t="s">
        <v>262</v>
      </c>
      <c r="E9" s="40">
        <v>40</v>
      </c>
      <c r="F9" s="10"/>
    </row>
    <row r="10" spans="1:6" x14ac:dyDescent="0.35">
      <c r="A10" s="130"/>
      <c r="B10" s="145"/>
      <c r="C10" s="10" t="s">
        <v>263</v>
      </c>
      <c r="D10" s="10" t="s">
        <v>264</v>
      </c>
      <c r="E10" s="40"/>
      <c r="F10" s="10">
        <v>40</v>
      </c>
    </row>
    <row r="11" spans="1:6" x14ac:dyDescent="0.35">
      <c r="A11" s="130"/>
      <c r="B11" s="37" t="s">
        <v>518</v>
      </c>
      <c r="C11" s="10" t="s">
        <v>496</v>
      </c>
      <c r="D11" s="10" t="s">
        <v>497</v>
      </c>
      <c r="E11" s="40"/>
      <c r="F11" s="10">
        <v>2960</v>
      </c>
    </row>
    <row r="12" spans="1:6" x14ac:dyDescent="0.35">
      <c r="A12" s="41"/>
      <c r="B12" s="42"/>
      <c r="C12" s="42"/>
      <c r="D12" s="42"/>
      <c r="E12" s="42"/>
      <c r="F12" s="43"/>
    </row>
    <row r="13" spans="1:6" ht="14.5" customHeight="1" x14ac:dyDescent="0.35">
      <c r="A13" s="146" t="s">
        <v>546</v>
      </c>
      <c r="B13" s="32" t="s">
        <v>519</v>
      </c>
      <c r="C13" s="10" t="s">
        <v>514</v>
      </c>
      <c r="D13" s="10" t="s">
        <v>513</v>
      </c>
      <c r="E13" s="40">
        <v>5000</v>
      </c>
      <c r="F13" s="10"/>
    </row>
    <row r="14" spans="1:6" x14ac:dyDescent="0.35">
      <c r="A14" s="146"/>
      <c r="B14" s="39" t="s">
        <v>516</v>
      </c>
      <c r="C14" s="10" t="s">
        <v>251</v>
      </c>
      <c r="D14" s="10" t="s">
        <v>252</v>
      </c>
      <c r="E14" s="40"/>
      <c r="F14" s="10">
        <v>2000</v>
      </c>
    </row>
    <row r="15" spans="1:6" x14ac:dyDescent="0.35">
      <c r="A15" s="146"/>
      <c r="B15" s="38" t="s">
        <v>517</v>
      </c>
      <c r="C15" s="22">
        <v>3050399099</v>
      </c>
      <c r="D15" s="10" t="s">
        <v>250</v>
      </c>
      <c r="E15" s="40"/>
      <c r="F15" s="10">
        <v>40</v>
      </c>
    </row>
    <row r="16" spans="1:6" x14ac:dyDescent="0.35">
      <c r="A16" s="146"/>
      <c r="B16" s="37" t="s">
        <v>518</v>
      </c>
      <c r="C16" s="10" t="s">
        <v>496</v>
      </c>
      <c r="D16" s="10" t="s">
        <v>497</v>
      </c>
      <c r="E16" s="40"/>
      <c r="F16" s="10">
        <v>2960</v>
      </c>
    </row>
    <row r="17" spans="1:1" x14ac:dyDescent="0.35">
      <c r="A17" s="15"/>
    </row>
    <row r="18" spans="1:1" x14ac:dyDescent="0.35">
      <c r="A18" s="15"/>
    </row>
  </sheetData>
  <mergeCells count="4">
    <mergeCell ref="B3:B5"/>
    <mergeCell ref="B6:B10"/>
    <mergeCell ref="A1:A11"/>
    <mergeCell ref="A13:A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5"/>
  <sheetViews>
    <sheetView zoomScale="115" zoomScaleNormal="115" workbookViewId="0">
      <selection activeCell="C19" sqref="C19"/>
    </sheetView>
  </sheetViews>
  <sheetFormatPr defaultRowHeight="14.5" x14ac:dyDescent="0.35"/>
  <cols>
    <col min="1" max="1" width="5.7265625" bestFit="1" customWidth="1"/>
    <col min="2" max="2" width="10.26953125" customWidth="1"/>
    <col min="3" max="3" width="14.7265625" bestFit="1" customWidth="1"/>
    <col min="4" max="4" width="7.1796875" customWidth="1"/>
    <col min="5" max="5" width="37.26953125" bestFit="1" customWidth="1"/>
    <col min="6" max="6" width="4.36328125" customWidth="1"/>
    <col min="7" max="7" width="15.26953125" customWidth="1"/>
    <col min="8" max="8" width="52.08984375" customWidth="1"/>
    <col min="9" max="9" width="59.81640625" bestFit="1" customWidth="1"/>
    <col min="10" max="11" width="29.7265625" bestFit="1" customWidth="1"/>
    <col min="12" max="12" width="53.7265625" bestFit="1" customWidth="1"/>
    <col min="13" max="13" width="47.26953125" bestFit="1" customWidth="1"/>
    <col min="14" max="14" width="12.6328125" bestFit="1" customWidth="1"/>
  </cols>
  <sheetData>
    <row r="1" spans="1:14" x14ac:dyDescent="0.35">
      <c r="H1" s="147" t="s">
        <v>276</v>
      </c>
      <c r="I1" s="147"/>
      <c r="J1" s="147" t="s">
        <v>277</v>
      </c>
      <c r="K1" s="147"/>
      <c r="L1" t="s">
        <v>292</v>
      </c>
      <c r="M1" t="s">
        <v>293</v>
      </c>
      <c r="N1" t="s">
        <v>437</v>
      </c>
    </row>
    <row r="2" spans="1:14" x14ac:dyDescent="0.35">
      <c r="A2" s="10" t="s">
        <v>272</v>
      </c>
      <c r="B2" s="10" t="s">
        <v>273</v>
      </c>
      <c r="C2" s="10" t="s">
        <v>347</v>
      </c>
      <c r="D2" s="10" t="s">
        <v>289</v>
      </c>
      <c r="E2" s="10" t="s">
        <v>289</v>
      </c>
      <c r="F2" s="10" t="s">
        <v>288</v>
      </c>
      <c r="G2" s="10" t="s">
        <v>356</v>
      </c>
      <c r="H2" s="10" t="s">
        <v>291</v>
      </c>
      <c r="I2" s="10" t="s">
        <v>291</v>
      </c>
      <c r="J2" s="10"/>
      <c r="K2" s="10"/>
      <c r="L2" s="11" t="s">
        <v>349</v>
      </c>
      <c r="M2" s="10" t="s">
        <v>351</v>
      </c>
      <c r="N2" s="10" t="s">
        <v>438</v>
      </c>
    </row>
    <row r="3" spans="1:14" x14ac:dyDescent="0.35">
      <c r="A3" s="10"/>
      <c r="B3" s="10" t="s">
        <v>329</v>
      </c>
      <c r="C3" s="10"/>
      <c r="D3" s="10">
        <v>13</v>
      </c>
      <c r="E3" s="10" t="s">
        <v>214</v>
      </c>
      <c r="F3" s="10">
        <v>1</v>
      </c>
      <c r="G3" s="10" t="s">
        <v>354</v>
      </c>
      <c r="H3" s="23" t="s">
        <v>297</v>
      </c>
      <c r="I3" s="10" t="s">
        <v>298</v>
      </c>
      <c r="J3" s="10" t="s">
        <v>280</v>
      </c>
      <c r="K3" s="10" t="s">
        <v>280</v>
      </c>
      <c r="L3" s="10" t="str">
        <f t="shared" ref="L3:L25" si="0">"HRM:["&amp;E3 &amp; "][" &amp; B3 &amp; "][Cash]"</f>
        <v>HRM:[Mobile Bill (payment)][Payment][Cash]</v>
      </c>
      <c r="M3" s="10"/>
      <c r="N3" s="10" t="s">
        <v>438</v>
      </c>
    </row>
    <row r="4" spans="1:14" x14ac:dyDescent="0.35">
      <c r="A4" s="10"/>
      <c r="B4" s="10" t="s">
        <v>329</v>
      </c>
      <c r="C4" s="10"/>
      <c r="D4" s="10">
        <v>38</v>
      </c>
      <c r="E4" s="10" t="s">
        <v>330</v>
      </c>
      <c r="F4" s="10">
        <v>1</v>
      </c>
      <c r="G4" s="10" t="s">
        <v>354</v>
      </c>
      <c r="H4" s="10" t="s">
        <v>390</v>
      </c>
      <c r="I4" s="10" t="s">
        <v>390</v>
      </c>
      <c r="J4" s="10" t="s">
        <v>280</v>
      </c>
      <c r="K4" s="10" t="s">
        <v>280</v>
      </c>
      <c r="L4" s="10" t="str">
        <f t="shared" si="0"/>
        <v>HRM:[Staying/night hold allowance][Payment][Cash]</v>
      </c>
      <c r="M4" s="10"/>
      <c r="N4" s="10" t="s">
        <v>438</v>
      </c>
    </row>
    <row r="5" spans="1:14" x14ac:dyDescent="0.35">
      <c r="A5" s="10"/>
      <c r="B5" s="10" t="s">
        <v>329</v>
      </c>
      <c r="C5" s="10"/>
      <c r="D5" s="10">
        <v>30</v>
      </c>
      <c r="E5" s="10" t="s">
        <v>183</v>
      </c>
      <c r="F5" s="10">
        <v>1</v>
      </c>
      <c r="G5" s="10" t="s">
        <v>354</v>
      </c>
      <c r="H5" s="10" t="s">
        <v>390</v>
      </c>
      <c r="I5" s="10" t="s">
        <v>390</v>
      </c>
      <c r="J5" s="10" t="s">
        <v>280</v>
      </c>
      <c r="K5" s="10" t="s">
        <v>280</v>
      </c>
      <c r="L5" s="10" t="str">
        <f t="shared" si="0"/>
        <v>HRM:[TA/DA][Payment][Cash]</v>
      </c>
      <c r="M5" s="10"/>
      <c r="N5" s="10" t="s">
        <v>438</v>
      </c>
    </row>
    <row r="6" spans="1:14" x14ac:dyDescent="0.35">
      <c r="A6" s="10"/>
      <c r="B6" s="10" t="s">
        <v>329</v>
      </c>
      <c r="C6" s="10"/>
      <c r="D6" s="10">
        <v>33</v>
      </c>
      <c r="E6" s="10" t="s">
        <v>229</v>
      </c>
      <c r="F6" s="10">
        <v>1</v>
      </c>
      <c r="G6" s="10" t="s">
        <v>354</v>
      </c>
      <c r="H6" s="10" t="s">
        <v>390</v>
      </c>
      <c r="I6" s="10" t="s">
        <v>390</v>
      </c>
      <c r="J6" s="10" t="s">
        <v>280</v>
      </c>
      <c r="K6" s="10" t="s">
        <v>280</v>
      </c>
      <c r="L6" s="10" t="str">
        <f t="shared" si="0"/>
        <v>HRM:[Fuel Cost][Payment][Cash]</v>
      </c>
      <c r="M6" s="10"/>
      <c r="N6" s="10" t="s">
        <v>438</v>
      </c>
    </row>
    <row r="7" spans="1:14" x14ac:dyDescent="0.35">
      <c r="A7" s="10"/>
      <c r="B7" s="10" t="s">
        <v>329</v>
      </c>
      <c r="C7" s="10"/>
      <c r="D7" s="10">
        <v>34</v>
      </c>
      <c r="E7" s="10" t="s">
        <v>230</v>
      </c>
      <c r="F7" s="10">
        <v>1</v>
      </c>
      <c r="G7" s="10" t="s">
        <v>354</v>
      </c>
      <c r="H7" s="10" t="s">
        <v>390</v>
      </c>
      <c r="I7" s="10" t="s">
        <v>390</v>
      </c>
      <c r="J7" s="10" t="s">
        <v>280</v>
      </c>
      <c r="K7" s="10" t="s">
        <v>280</v>
      </c>
      <c r="L7" s="10" t="str">
        <f t="shared" si="0"/>
        <v>HRM:[Food Allowance][Payment][Cash]</v>
      </c>
      <c r="M7" s="10"/>
      <c r="N7" s="10" t="s">
        <v>438</v>
      </c>
    </row>
    <row r="8" spans="1:14" s="98" customFormat="1" x14ac:dyDescent="0.35">
      <c r="A8" s="96" t="s">
        <v>575</v>
      </c>
      <c r="B8" s="96" t="s">
        <v>329</v>
      </c>
      <c r="C8" s="96"/>
      <c r="D8" s="96">
        <v>32</v>
      </c>
      <c r="E8" s="96" t="s">
        <v>228</v>
      </c>
      <c r="F8" s="96">
        <v>1</v>
      </c>
      <c r="G8" s="96" t="s">
        <v>354</v>
      </c>
      <c r="H8" s="97" t="s">
        <v>315</v>
      </c>
      <c r="I8" s="96" t="s">
        <v>316</v>
      </c>
      <c r="J8" s="96" t="s">
        <v>280</v>
      </c>
      <c r="K8" s="96" t="s">
        <v>280</v>
      </c>
      <c r="L8" s="96" t="str">
        <f t="shared" si="0"/>
        <v>HRM:[Rain Coat Bill/Umbrella Bill][Payment][Cash]</v>
      </c>
      <c r="M8" s="96"/>
      <c r="N8" s="96" t="s">
        <v>438</v>
      </c>
    </row>
    <row r="9" spans="1:14" s="48" customFormat="1" x14ac:dyDescent="0.35">
      <c r="A9" s="55" t="s">
        <v>588</v>
      </c>
      <c r="B9" s="55" t="s">
        <v>329</v>
      </c>
      <c r="C9" s="55"/>
      <c r="D9" s="55">
        <v>32</v>
      </c>
      <c r="E9" s="55" t="s">
        <v>228</v>
      </c>
      <c r="F9" s="55">
        <v>1</v>
      </c>
      <c r="G9" s="55" t="s">
        <v>354</v>
      </c>
      <c r="H9" s="55" t="s">
        <v>576</v>
      </c>
      <c r="I9" s="55" t="s">
        <v>316</v>
      </c>
      <c r="J9" s="55" t="s">
        <v>280</v>
      </c>
      <c r="K9" s="55" t="s">
        <v>280</v>
      </c>
      <c r="L9" s="55" t="str">
        <f t="shared" ref="L9" si="1">"HRM:["&amp;E9 &amp; "][" &amp; B9 &amp; "][Cash]"</f>
        <v>HRM:[Rain Coat Bill/Umbrella Bill][Payment][Cash]</v>
      </c>
      <c r="M9" s="55"/>
      <c r="N9" s="55" t="s">
        <v>438</v>
      </c>
    </row>
    <row r="10" spans="1:14" s="101" customFormat="1" x14ac:dyDescent="0.35">
      <c r="A10" s="99" t="s">
        <v>575</v>
      </c>
      <c r="B10" s="99" t="s">
        <v>329</v>
      </c>
      <c r="C10" s="99"/>
      <c r="D10" s="99">
        <v>35</v>
      </c>
      <c r="E10" s="99" t="s">
        <v>231</v>
      </c>
      <c r="F10" s="99">
        <v>1</v>
      </c>
      <c r="G10" s="99" t="s">
        <v>354</v>
      </c>
      <c r="H10" s="100" t="s">
        <v>315</v>
      </c>
      <c r="I10" s="99" t="s">
        <v>316</v>
      </c>
      <c r="J10" s="99" t="s">
        <v>280</v>
      </c>
      <c r="K10" s="99" t="s">
        <v>280</v>
      </c>
      <c r="L10" s="99" t="str">
        <f t="shared" si="0"/>
        <v>HRM:[Bag Allowance][Payment][Cash]</v>
      </c>
      <c r="M10" s="99"/>
      <c r="N10" s="99" t="s">
        <v>438</v>
      </c>
    </row>
    <row r="11" spans="1:14" s="98" customFormat="1" x14ac:dyDescent="0.35">
      <c r="A11" s="96" t="s">
        <v>575</v>
      </c>
      <c r="B11" s="96" t="s">
        <v>329</v>
      </c>
      <c r="C11" s="96"/>
      <c r="D11" s="96">
        <v>44</v>
      </c>
      <c r="E11" s="96" t="s">
        <v>237</v>
      </c>
      <c r="F11" s="96">
        <v>1</v>
      </c>
      <c r="G11" s="96" t="s">
        <v>354</v>
      </c>
      <c r="H11" s="97" t="s">
        <v>315</v>
      </c>
      <c r="I11" s="96" t="s">
        <v>316</v>
      </c>
      <c r="J11" s="96" t="s">
        <v>280</v>
      </c>
      <c r="K11" s="96" t="s">
        <v>280</v>
      </c>
      <c r="L11" s="96" t="str">
        <f t="shared" si="0"/>
        <v>HRM:[Calculator Bill][Payment][Cash]</v>
      </c>
      <c r="M11" s="96"/>
      <c r="N11" s="96" t="s">
        <v>438</v>
      </c>
    </row>
    <row r="12" spans="1:14" s="48" customFormat="1" x14ac:dyDescent="0.35">
      <c r="A12" s="55" t="s">
        <v>588</v>
      </c>
      <c r="B12" s="55" t="s">
        <v>329</v>
      </c>
      <c r="C12" s="55"/>
      <c r="D12" s="55">
        <v>35</v>
      </c>
      <c r="E12" s="55" t="s">
        <v>231</v>
      </c>
      <c r="F12" s="55">
        <v>1</v>
      </c>
      <c r="G12" s="55" t="s">
        <v>354</v>
      </c>
      <c r="H12" s="55" t="s">
        <v>577</v>
      </c>
      <c r="I12" s="55" t="s">
        <v>316</v>
      </c>
      <c r="J12" s="55" t="s">
        <v>280</v>
      </c>
      <c r="K12" s="55" t="s">
        <v>280</v>
      </c>
      <c r="L12" s="55" t="str">
        <f t="shared" ref="L12:L13" si="2">"HRM:["&amp;E12 &amp; "][" &amp; B12 &amp; "][Cash]"</f>
        <v>HRM:[Bag Allowance][Payment][Cash]</v>
      </c>
      <c r="M12" s="55"/>
      <c r="N12" s="55" t="s">
        <v>438</v>
      </c>
    </row>
    <row r="13" spans="1:14" s="48" customFormat="1" x14ac:dyDescent="0.35">
      <c r="A13" s="55" t="s">
        <v>588</v>
      </c>
      <c r="B13" s="55" t="s">
        <v>329</v>
      </c>
      <c r="C13" s="55"/>
      <c r="D13" s="55">
        <v>44</v>
      </c>
      <c r="E13" s="55" t="s">
        <v>237</v>
      </c>
      <c r="F13" s="55">
        <v>1</v>
      </c>
      <c r="G13" s="55" t="s">
        <v>354</v>
      </c>
      <c r="H13" s="55" t="s">
        <v>578</v>
      </c>
      <c r="I13" s="55" t="s">
        <v>316</v>
      </c>
      <c r="J13" s="55" t="s">
        <v>280</v>
      </c>
      <c r="K13" s="55" t="s">
        <v>280</v>
      </c>
      <c r="L13" s="55" t="str">
        <f t="shared" si="2"/>
        <v>HRM:[Calculator Bill][Payment][Cash]</v>
      </c>
      <c r="M13" s="55"/>
      <c r="N13" s="55" t="s">
        <v>438</v>
      </c>
    </row>
    <row r="14" spans="1:14" x14ac:dyDescent="0.35">
      <c r="A14" s="10"/>
      <c r="B14" s="10" t="s">
        <v>329</v>
      </c>
      <c r="C14" s="10"/>
      <c r="D14" s="10">
        <v>42</v>
      </c>
      <c r="E14" s="10" t="s">
        <v>235</v>
      </c>
      <c r="F14" s="10">
        <v>1</v>
      </c>
      <c r="G14" s="10" t="s">
        <v>354</v>
      </c>
      <c r="H14" s="23" t="s">
        <v>317</v>
      </c>
      <c r="I14" s="10" t="s">
        <v>318</v>
      </c>
      <c r="J14" s="10" t="s">
        <v>280</v>
      </c>
      <c r="K14" s="10" t="s">
        <v>280</v>
      </c>
      <c r="L14" s="10" t="str">
        <f t="shared" si="0"/>
        <v>HRM:[Training][Payment][Cash]</v>
      </c>
      <c r="M14" s="10"/>
      <c r="N14" s="10" t="s">
        <v>438</v>
      </c>
    </row>
    <row r="15" spans="1:14" x14ac:dyDescent="0.35">
      <c r="A15" s="10"/>
      <c r="B15" s="53" t="s">
        <v>329</v>
      </c>
      <c r="C15" s="10" t="s">
        <v>16</v>
      </c>
      <c r="D15" s="10">
        <v>41</v>
      </c>
      <c r="E15" s="10" t="s">
        <v>234</v>
      </c>
      <c r="F15" s="10">
        <v>1</v>
      </c>
      <c r="G15" s="10" t="s">
        <v>354</v>
      </c>
      <c r="H15" s="23" t="s">
        <v>319</v>
      </c>
      <c r="I15" s="10" t="s">
        <v>320</v>
      </c>
      <c r="J15" s="10" t="s">
        <v>280</v>
      </c>
      <c r="K15" s="10" t="s">
        <v>280</v>
      </c>
      <c r="L15" s="10" t="str">
        <f t="shared" si="0"/>
        <v>HRM:[Helmet Bill][Payment][Cash]</v>
      </c>
      <c r="M15" s="10"/>
      <c r="N15" s="10" t="s">
        <v>438</v>
      </c>
    </row>
    <row r="16" spans="1:14" x14ac:dyDescent="0.35">
      <c r="A16" s="10"/>
      <c r="B16" s="53" t="s">
        <v>329</v>
      </c>
      <c r="C16" s="10" t="s">
        <v>41</v>
      </c>
      <c r="D16" s="10">
        <v>41</v>
      </c>
      <c r="E16" s="10" t="s">
        <v>234</v>
      </c>
      <c r="F16" s="10">
        <v>1</v>
      </c>
      <c r="G16" s="10" t="s">
        <v>354</v>
      </c>
      <c r="H16" s="23" t="s">
        <v>321</v>
      </c>
      <c r="I16" s="10" t="s">
        <v>322</v>
      </c>
      <c r="J16" s="10" t="s">
        <v>280</v>
      </c>
      <c r="K16" s="10" t="s">
        <v>280</v>
      </c>
      <c r="L16" s="10" t="str">
        <f t="shared" si="0"/>
        <v>HRM:[Helmet Bill][Payment][Cash]</v>
      </c>
      <c r="M16" s="10"/>
      <c r="N16" s="10" t="s">
        <v>438</v>
      </c>
    </row>
    <row r="17" spans="1:14" x14ac:dyDescent="0.35">
      <c r="A17" s="10"/>
      <c r="B17" s="53" t="s">
        <v>329</v>
      </c>
      <c r="C17" s="10" t="s">
        <v>338</v>
      </c>
      <c r="D17" s="10">
        <v>41</v>
      </c>
      <c r="E17" s="10" t="s">
        <v>234</v>
      </c>
      <c r="F17" s="10">
        <v>1</v>
      </c>
      <c r="G17" s="10" t="s">
        <v>354</v>
      </c>
      <c r="H17" s="34" t="s">
        <v>323</v>
      </c>
      <c r="I17" s="34" t="s">
        <v>324</v>
      </c>
      <c r="J17" s="10" t="s">
        <v>280</v>
      </c>
      <c r="K17" s="10" t="s">
        <v>280</v>
      </c>
      <c r="L17" s="10" t="str">
        <f t="shared" si="0"/>
        <v>HRM:[Helmet Bill][Payment][Cash]</v>
      </c>
      <c r="M17" s="10"/>
      <c r="N17" s="10" t="s">
        <v>438</v>
      </c>
    </row>
    <row r="18" spans="1:14" x14ac:dyDescent="0.35">
      <c r="A18" s="10"/>
      <c r="B18" s="54" t="s">
        <v>329</v>
      </c>
      <c r="C18" s="10" t="s">
        <v>16</v>
      </c>
      <c r="D18" s="10">
        <v>43</v>
      </c>
      <c r="E18" s="10" t="s">
        <v>236</v>
      </c>
      <c r="F18" s="10">
        <v>1</v>
      </c>
      <c r="G18" s="10" t="s">
        <v>354</v>
      </c>
      <c r="H18" s="23" t="s">
        <v>325</v>
      </c>
      <c r="I18" s="10" t="s">
        <v>326</v>
      </c>
      <c r="J18" s="10" t="s">
        <v>280</v>
      </c>
      <c r="K18" s="10" t="s">
        <v>280</v>
      </c>
      <c r="L18" s="10" t="str">
        <f t="shared" si="0"/>
        <v>HRM:[Motorcycle Registration Bill][Payment][Cash]</v>
      </c>
      <c r="M18" s="10"/>
      <c r="N18" s="10" t="s">
        <v>438</v>
      </c>
    </row>
    <row r="19" spans="1:14" x14ac:dyDescent="0.35">
      <c r="A19" s="10"/>
      <c r="B19" s="54" t="s">
        <v>329</v>
      </c>
      <c r="C19" s="10" t="s">
        <v>41</v>
      </c>
      <c r="D19" s="10">
        <v>43</v>
      </c>
      <c r="E19" s="10" t="s">
        <v>236</v>
      </c>
      <c r="F19" s="10">
        <v>1</v>
      </c>
      <c r="G19" s="10" t="s">
        <v>354</v>
      </c>
      <c r="H19" s="23" t="s">
        <v>327</v>
      </c>
      <c r="I19" s="10" t="s">
        <v>328</v>
      </c>
      <c r="J19" s="10" t="s">
        <v>280</v>
      </c>
      <c r="K19" s="10" t="s">
        <v>280</v>
      </c>
      <c r="L19" s="10" t="str">
        <f t="shared" si="0"/>
        <v>HRM:[Motorcycle Registration Bill][Payment][Cash]</v>
      </c>
      <c r="M19" s="10"/>
      <c r="N19" s="10" t="s">
        <v>438</v>
      </c>
    </row>
    <row r="20" spans="1:14" x14ac:dyDescent="0.35">
      <c r="A20" s="10"/>
      <c r="B20" s="54" t="s">
        <v>329</v>
      </c>
      <c r="C20" s="10" t="s">
        <v>338</v>
      </c>
      <c r="D20" s="10">
        <v>43</v>
      </c>
      <c r="E20" s="10" t="s">
        <v>236</v>
      </c>
      <c r="F20" s="10">
        <v>1</v>
      </c>
      <c r="G20" s="10" t="s">
        <v>354</v>
      </c>
      <c r="H20" s="34" t="s">
        <v>323</v>
      </c>
      <c r="I20" s="34" t="s">
        <v>324</v>
      </c>
      <c r="J20" s="10" t="s">
        <v>280</v>
      </c>
      <c r="K20" s="10" t="s">
        <v>280</v>
      </c>
      <c r="L20" s="10" t="str">
        <f t="shared" si="0"/>
        <v>HRM:[Motorcycle Registration Bill][Payment][Cash]</v>
      </c>
      <c r="M20" s="10"/>
      <c r="N20" s="10" t="s">
        <v>438</v>
      </c>
    </row>
    <row r="21" spans="1:14" x14ac:dyDescent="0.35">
      <c r="A21" s="10"/>
      <c r="B21" s="10" t="s">
        <v>329</v>
      </c>
      <c r="C21" s="32"/>
      <c r="D21" s="10">
        <v>24</v>
      </c>
      <c r="E21" s="10" t="s">
        <v>222</v>
      </c>
      <c r="F21" s="10">
        <v>1</v>
      </c>
      <c r="G21" s="10" t="s">
        <v>354</v>
      </c>
      <c r="H21" s="21" t="s">
        <v>558</v>
      </c>
      <c r="I21" s="10" t="s">
        <v>559</v>
      </c>
      <c r="J21" s="10" t="s">
        <v>280</v>
      </c>
      <c r="K21" s="10" t="s">
        <v>280</v>
      </c>
      <c r="L21" s="10" t="str">
        <f t="shared" si="0"/>
        <v>HRM:[Others Bill][Payment][Cash]</v>
      </c>
      <c r="M21" s="10"/>
      <c r="N21" s="10" t="s">
        <v>438</v>
      </c>
    </row>
    <row r="22" spans="1:14" x14ac:dyDescent="0.35">
      <c r="A22" s="10"/>
      <c r="B22" s="54" t="s">
        <v>329</v>
      </c>
      <c r="C22" s="32"/>
      <c r="D22" s="10">
        <v>0</v>
      </c>
      <c r="E22" s="32" t="s">
        <v>391</v>
      </c>
      <c r="F22" s="10">
        <v>1</v>
      </c>
      <c r="G22" s="10" t="s">
        <v>354</v>
      </c>
      <c r="H22" s="21" t="s">
        <v>331</v>
      </c>
      <c r="I22" s="10" t="s">
        <v>332</v>
      </c>
      <c r="J22" s="10" t="s">
        <v>280</v>
      </c>
      <c r="K22" s="10" t="s">
        <v>280</v>
      </c>
      <c r="L22" s="10" t="str">
        <f t="shared" si="0"/>
        <v>HRM:[Employee Accident(Medical Help)][Payment][Cash]</v>
      </c>
      <c r="M22" s="10"/>
      <c r="N22" s="10" t="s">
        <v>438</v>
      </c>
    </row>
    <row r="23" spans="1:14" x14ac:dyDescent="0.35">
      <c r="A23" s="10"/>
      <c r="B23" s="54" t="s">
        <v>329</v>
      </c>
      <c r="C23" s="32"/>
      <c r="D23" s="10">
        <v>0</v>
      </c>
      <c r="E23" s="32" t="s">
        <v>392</v>
      </c>
      <c r="F23" s="10">
        <v>1</v>
      </c>
      <c r="G23" s="10" t="s">
        <v>354</v>
      </c>
      <c r="H23" s="21" t="s">
        <v>333</v>
      </c>
      <c r="I23" s="10" t="s">
        <v>334</v>
      </c>
      <c r="J23" s="10" t="s">
        <v>280</v>
      </c>
      <c r="K23" s="10" t="s">
        <v>280</v>
      </c>
      <c r="L23" s="10" t="str">
        <f t="shared" si="0"/>
        <v>HRM:[Family Medical(Paribar Kallayan Fund)][Payment][Cash]</v>
      </c>
      <c r="M23" s="10"/>
      <c r="N23" s="10" t="s">
        <v>438</v>
      </c>
    </row>
    <row r="24" spans="1:14" x14ac:dyDescent="0.35">
      <c r="A24" s="10"/>
      <c r="B24" s="54" t="s">
        <v>329</v>
      </c>
      <c r="C24" s="32"/>
      <c r="D24" s="10">
        <v>0</v>
      </c>
      <c r="E24" s="32" t="s">
        <v>393</v>
      </c>
      <c r="F24" s="10">
        <v>1</v>
      </c>
      <c r="G24" s="10" t="s">
        <v>354</v>
      </c>
      <c r="H24" s="21" t="s">
        <v>335</v>
      </c>
      <c r="I24" s="10" t="s">
        <v>336</v>
      </c>
      <c r="J24" s="10" t="s">
        <v>280</v>
      </c>
      <c r="K24" s="10" t="s">
        <v>280</v>
      </c>
      <c r="L24" s="10" t="str">
        <f t="shared" si="0"/>
        <v>HRM:[Medical Help for Employee][Payment][Cash]</v>
      </c>
      <c r="M24" s="10"/>
      <c r="N24" s="10" t="s">
        <v>438</v>
      </c>
    </row>
    <row r="25" spans="1:14" x14ac:dyDescent="0.35">
      <c r="B25" s="54" t="s">
        <v>329</v>
      </c>
      <c r="D25">
        <v>26</v>
      </c>
      <c r="E25" t="s">
        <v>223</v>
      </c>
      <c r="F25" s="11">
        <v>1</v>
      </c>
      <c r="G25" s="10" t="s">
        <v>354</v>
      </c>
      <c r="H25" s="33">
        <v>1227002</v>
      </c>
      <c r="I25" s="10" t="s">
        <v>267</v>
      </c>
      <c r="J25" s="10" t="s">
        <v>280</v>
      </c>
      <c r="K25" s="10" t="s">
        <v>280</v>
      </c>
      <c r="L25" s="10" t="str">
        <f t="shared" si="0"/>
        <v>HRM:[Advance][Payment][Cash]</v>
      </c>
      <c r="N25" s="10" t="s">
        <v>438</v>
      </c>
    </row>
  </sheetData>
  <mergeCells count="2">
    <mergeCell ref="H1:I1"/>
    <mergeCell ref="J1:K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8"/>
  <sheetViews>
    <sheetView zoomScaleNormal="100" workbookViewId="0">
      <selection activeCell="E6" sqref="E6"/>
    </sheetView>
  </sheetViews>
  <sheetFormatPr defaultRowHeight="14.5" x14ac:dyDescent="0.35"/>
  <cols>
    <col min="1" max="1" width="8.7265625" style="47"/>
    <col min="2" max="2" width="23" style="47" bestFit="1" customWidth="1"/>
    <col min="3" max="3" width="11" style="47" customWidth="1"/>
    <col min="4" max="4" width="4" style="47" customWidth="1"/>
    <col min="5" max="5" width="27.26953125" style="47" bestFit="1" customWidth="1"/>
    <col min="6" max="6" width="4.81640625" style="47" bestFit="1" customWidth="1"/>
    <col min="7" max="7" width="3.81640625" style="47" customWidth="1"/>
    <col min="8" max="8" width="16" style="47" customWidth="1"/>
    <col min="9" max="9" width="40.81640625" style="47" bestFit="1" customWidth="1"/>
    <col min="10" max="10" width="51.7265625" style="47" bestFit="1" customWidth="1"/>
    <col min="11" max="12" width="29.7265625" style="47" bestFit="1" customWidth="1"/>
    <col min="13" max="13" width="53.7265625" style="47" bestFit="1" customWidth="1"/>
    <col min="14" max="14" width="36" style="47" bestFit="1" customWidth="1"/>
    <col min="15" max="15" width="13.26953125" style="47" bestFit="1" customWidth="1"/>
    <col min="16" max="16384" width="8.7265625" style="47"/>
  </cols>
  <sheetData>
    <row r="1" spans="1:15" x14ac:dyDescent="0.35">
      <c r="B1" s="4"/>
      <c r="C1" s="4"/>
      <c r="D1" s="4"/>
      <c r="E1" s="4"/>
      <c r="F1" s="4"/>
      <c r="G1" s="4"/>
      <c r="H1" s="4"/>
      <c r="I1" s="148" t="s">
        <v>277</v>
      </c>
      <c r="J1" s="148"/>
      <c r="K1" s="148" t="s">
        <v>276</v>
      </c>
      <c r="L1" s="148"/>
      <c r="M1" s="47" t="s">
        <v>292</v>
      </c>
      <c r="N1" s="47" t="s">
        <v>279</v>
      </c>
      <c r="O1" s="47" t="s">
        <v>437</v>
      </c>
    </row>
    <row r="2" spans="1:15" x14ac:dyDescent="0.35">
      <c r="A2" s="47" t="s">
        <v>272</v>
      </c>
      <c r="B2" s="4" t="s">
        <v>273</v>
      </c>
      <c r="C2" s="4" t="s">
        <v>347</v>
      </c>
      <c r="D2" s="4" t="s">
        <v>307</v>
      </c>
      <c r="E2" s="4" t="s">
        <v>308</v>
      </c>
      <c r="F2" s="4" t="s">
        <v>290</v>
      </c>
      <c r="G2" s="4" t="s">
        <v>288</v>
      </c>
      <c r="H2" s="4" t="s">
        <v>356</v>
      </c>
      <c r="I2" s="4" t="s">
        <v>309</v>
      </c>
      <c r="J2" s="4" t="s">
        <v>310</v>
      </c>
      <c r="K2" s="4" t="s">
        <v>309</v>
      </c>
      <c r="L2" s="4" t="s">
        <v>310</v>
      </c>
      <c r="M2" s="57" t="s">
        <v>349</v>
      </c>
      <c r="N2" s="4" t="s">
        <v>351</v>
      </c>
      <c r="O2" s="57" t="s">
        <v>449</v>
      </c>
    </row>
    <row r="3" spans="1:15" x14ac:dyDescent="0.35">
      <c r="A3" s="47">
        <v>1</v>
      </c>
      <c r="B3" s="4" t="s">
        <v>311</v>
      </c>
      <c r="C3" s="4" t="s">
        <v>303</v>
      </c>
      <c r="D3" s="4">
        <v>20</v>
      </c>
      <c r="E3" s="4" t="s">
        <v>206</v>
      </c>
      <c r="F3" s="4">
        <v>2</v>
      </c>
      <c r="G3" s="4">
        <v>1</v>
      </c>
      <c r="H3" s="4" t="s">
        <v>354</v>
      </c>
      <c r="I3" s="9">
        <v>3050002001</v>
      </c>
      <c r="J3" s="4" t="s">
        <v>312</v>
      </c>
      <c r="K3" s="4" t="s">
        <v>280</v>
      </c>
      <c r="L3" s="4" t="s">
        <v>280</v>
      </c>
      <c r="M3" s="47" t="str">
        <f>"HRM:["&amp;E3 &amp; "][" &amp; B3 &amp; "][Cash]"</f>
        <v>HRM:[Punishment][Collection][Cash]</v>
      </c>
      <c r="N3" s="47" t="s">
        <v>350</v>
      </c>
      <c r="O3" s="57" t="s">
        <v>449</v>
      </c>
    </row>
    <row r="4" spans="1:15" x14ac:dyDescent="0.35">
      <c r="B4" s="4" t="s">
        <v>500</v>
      </c>
      <c r="C4" s="4" t="s">
        <v>303</v>
      </c>
      <c r="D4" s="4">
        <v>20</v>
      </c>
      <c r="E4" s="4" t="s">
        <v>206</v>
      </c>
      <c r="F4" s="4">
        <v>2</v>
      </c>
      <c r="G4" s="4">
        <v>1</v>
      </c>
      <c r="H4" s="4" t="s">
        <v>354</v>
      </c>
      <c r="I4" s="9">
        <v>3050399099</v>
      </c>
      <c r="J4" s="4" t="s">
        <v>250</v>
      </c>
      <c r="K4" s="4" t="s">
        <v>280</v>
      </c>
      <c r="L4" s="4" t="s">
        <v>280</v>
      </c>
      <c r="M4" s="47" t="str">
        <f>"HRM:["&amp;E4 &amp; "][" &amp; B4 &amp; "][Cash]"</f>
        <v>HRM:[Punishment][ Late Fee/Penal Sertvice Charge][Cash]</v>
      </c>
      <c r="O4" s="57" t="s">
        <v>449</v>
      </c>
    </row>
    <row r="5" spans="1:15" x14ac:dyDescent="0.35">
      <c r="A5" s="47" t="s">
        <v>358</v>
      </c>
      <c r="B5" s="4" t="s">
        <v>394</v>
      </c>
      <c r="C5" s="4" t="s">
        <v>303</v>
      </c>
      <c r="D5" s="4">
        <v>20</v>
      </c>
      <c r="E5" s="4" t="s">
        <v>206</v>
      </c>
      <c r="F5" s="4">
        <v>2</v>
      </c>
      <c r="G5" s="4">
        <v>1</v>
      </c>
      <c r="H5" s="4" t="s">
        <v>355</v>
      </c>
      <c r="I5" s="4" t="s">
        <v>280</v>
      </c>
      <c r="J5" s="4" t="s">
        <v>280</v>
      </c>
      <c r="K5" s="58">
        <v>3050399099</v>
      </c>
      <c r="L5" s="59" t="s">
        <v>250</v>
      </c>
      <c r="O5" s="57" t="s">
        <v>438</v>
      </c>
    </row>
    <row r="6" spans="1:15" x14ac:dyDescent="0.35">
      <c r="A6" s="47">
        <v>2</v>
      </c>
      <c r="B6" s="4" t="s">
        <v>311</v>
      </c>
      <c r="C6" s="4" t="s">
        <v>303</v>
      </c>
      <c r="D6" s="4">
        <v>22</v>
      </c>
      <c r="E6" s="4" t="s">
        <v>220</v>
      </c>
      <c r="F6" s="4">
        <v>2</v>
      </c>
      <c r="G6" s="4">
        <v>1</v>
      </c>
      <c r="H6" s="4" t="s">
        <v>354</v>
      </c>
      <c r="I6" s="9">
        <v>3050050002</v>
      </c>
      <c r="J6" s="4" t="s">
        <v>296</v>
      </c>
      <c r="K6" s="4" t="s">
        <v>280</v>
      </c>
      <c r="L6" s="4" t="s">
        <v>280</v>
      </c>
      <c r="M6" s="47" t="str">
        <f t="shared" ref="M6:M13" si="0">"HRM:["&amp;E6 &amp; "][" &amp; B6 &amp; "][Cash]"</f>
        <v>HRM:[House Rent (collection)][Collection][Cash]</v>
      </c>
      <c r="O6" s="57" t="s">
        <v>449</v>
      </c>
    </row>
    <row r="7" spans="1:15" x14ac:dyDescent="0.35">
      <c r="A7" s="47">
        <v>3</v>
      </c>
      <c r="B7" s="4" t="s">
        <v>311</v>
      </c>
      <c r="C7" s="4" t="s">
        <v>303</v>
      </c>
      <c r="D7" s="4">
        <v>23</v>
      </c>
      <c r="E7" s="4" t="s">
        <v>221</v>
      </c>
      <c r="F7" s="4">
        <v>2</v>
      </c>
      <c r="G7" s="4">
        <v>1</v>
      </c>
      <c r="H7" s="4" t="s">
        <v>354</v>
      </c>
      <c r="I7" s="9">
        <v>3050399099</v>
      </c>
      <c r="J7" s="4" t="s">
        <v>250</v>
      </c>
      <c r="K7" s="4" t="s">
        <v>280</v>
      </c>
      <c r="L7" s="4" t="s">
        <v>280</v>
      </c>
      <c r="M7" s="47" t="str">
        <f t="shared" si="0"/>
        <v>HRM:[Others (collection)][Collection][Cash]</v>
      </c>
      <c r="O7" s="57" t="s">
        <v>449</v>
      </c>
    </row>
    <row r="8" spans="1:15" x14ac:dyDescent="0.35">
      <c r="A8" s="47">
        <v>4</v>
      </c>
      <c r="B8" s="4" t="s">
        <v>311</v>
      </c>
      <c r="C8" s="4" t="s">
        <v>303</v>
      </c>
      <c r="D8" s="4">
        <v>27</v>
      </c>
      <c r="E8" s="4" t="s">
        <v>224</v>
      </c>
      <c r="F8" s="4">
        <v>2</v>
      </c>
      <c r="G8" s="4">
        <v>1</v>
      </c>
      <c r="H8" s="4" t="s">
        <v>354</v>
      </c>
      <c r="I8" s="1" t="s">
        <v>297</v>
      </c>
      <c r="J8" s="4" t="s">
        <v>298</v>
      </c>
      <c r="K8" s="4" t="s">
        <v>280</v>
      </c>
      <c r="L8" s="4" t="s">
        <v>280</v>
      </c>
      <c r="M8" s="47" t="str">
        <f t="shared" si="0"/>
        <v>HRM:[Mobile Bill (collection)][Collection][Cash]</v>
      </c>
      <c r="O8" s="57" t="s">
        <v>449</v>
      </c>
    </row>
    <row r="9" spans="1:15" x14ac:dyDescent="0.35">
      <c r="A9" s="47">
        <v>5</v>
      </c>
      <c r="B9" s="4" t="s">
        <v>311</v>
      </c>
      <c r="C9" s="4" t="s">
        <v>303</v>
      </c>
      <c r="D9" s="4">
        <v>28</v>
      </c>
      <c r="E9" s="4" t="s">
        <v>225</v>
      </c>
      <c r="F9" s="4">
        <v>2</v>
      </c>
      <c r="G9" s="4">
        <v>1</v>
      </c>
      <c r="H9" s="4" t="s">
        <v>354</v>
      </c>
      <c r="I9" s="9">
        <v>3050050003</v>
      </c>
      <c r="J9" s="4" t="s">
        <v>299</v>
      </c>
      <c r="K9" s="4" t="s">
        <v>280</v>
      </c>
      <c r="L9" s="4" t="s">
        <v>280</v>
      </c>
      <c r="M9" s="47" t="str">
        <f t="shared" si="0"/>
        <v>HRM:[Gas Bill][Collection][Cash]</v>
      </c>
      <c r="O9" s="57" t="s">
        <v>449</v>
      </c>
    </row>
    <row r="10" spans="1:15" x14ac:dyDescent="0.35">
      <c r="A10" s="47">
        <v>6</v>
      </c>
      <c r="B10" s="4" t="s">
        <v>311</v>
      </c>
      <c r="C10" s="4" t="s">
        <v>303</v>
      </c>
      <c r="D10" s="4">
        <v>45</v>
      </c>
      <c r="E10" s="4" t="s">
        <v>238</v>
      </c>
      <c r="F10" s="4">
        <v>2</v>
      </c>
      <c r="G10" s="4">
        <v>1</v>
      </c>
      <c r="H10" s="4" t="s">
        <v>354</v>
      </c>
      <c r="I10" s="2" t="s">
        <v>313</v>
      </c>
      <c r="J10" s="4" t="s">
        <v>314</v>
      </c>
      <c r="K10" s="4" t="s">
        <v>280</v>
      </c>
      <c r="L10" s="4" t="s">
        <v>280</v>
      </c>
      <c r="M10" s="47" t="str">
        <f t="shared" si="0"/>
        <v>HRM:[Housing Loan (Collection)][Collection][Cash]</v>
      </c>
      <c r="O10" s="57" t="s">
        <v>449</v>
      </c>
    </row>
    <row r="11" spans="1:15" x14ac:dyDescent="0.35">
      <c r="B11" s="4" t="s">
        <v>311</v>
      </c>
      <c r="C11" s="4" t="s">
        <v>303</v>
      </c>
      <c r="D11" s="47">
        <v>21</v>
      </c>
      <c r="E11" s="47" t="s">
        <v>205</v>
      </c>
      <c r="F11" s="4">
        <v>2</v>
      </c>
      <c r="G11" s="4">
        <v>1</v>
      </c>
      <c r="H11" s="4" t="s">
        <v>354</v>
      </c>
      <c r="I11" s="2" t="s">
        <v>270</v>
      </c>
      <c r="J11" s="4" t="s">
        <v>271</v>
      </c>
      <c r="K11" s="4" t="s">
        <v>280</v>
      </c>
      <c r="L11" s="4" t="s">
        <v>280</v>
      </c>
      <c r="M11" s="47" t="str">
        <f t="shared" si="0"/>
        <v>HRM:[Employee Security][Collection][Cash]</v>
      </c>
      <c r="O11" s="57" t="s">
        <v>449</v>
      </c>
    </row>
    <row r="12" spans="1:15" x14ac:dyDescent="0.35">
      <c r="B12" s="4" t="s">
        <v>357</v>
      </c>
      <c r="C12" s="4" t="s">
        <v>303</v>
      </c>
      <c r="D12" s="47">
        <v>21</v>
      </c>
      <c r="E12" s="47" t="s">
        <v>205</v>
      </c>
      <c r="F12" s="57">
        <v>2</v>
      </c>
      <c r="G12" s="4">
        <v>1</v>
      </c>
      <c r="H12" s="4" t="s">
        <v>354</v>
      </c>
      <c r="I12" s="9">
        <v>3050399099</v>
      </c>
      <c r="J12" s="4" t="s">
        <v>250</v>
      </c>
      <c r="K12" s="4" t="s">
        <v>280</v>
      </c>
      <c r="L12" s="4" t="s">
        <v>280</v>
      </c>
      <c r="M12" s="47" t="str">
        <f t="shared" si="0"/>
        <v>HRM:[Employee Security][Late Fee][Cash]</v>
      </c>
      <c r="O12" s="57" t="s">
        <v>449</v>
      </c>
    </row>
    <row r="13" spans="1:15" x14ac:dyDescent="0.35">
      <c r="B13" s="4" t="s">
        <v>311</v>
      </c>
      <c r="C13" s="4" t="s">
        <v>303</v>
      </c>
      <c r="D13" s="47">
        <v>26</v>
      </c>
      <c r="E13" s="47" t="s">
        <v>223</v>
      </c>
      <c r="F13" s="47">
        <v>3</v>
      </c>
      <c r="G13" s="4">
        <v>1</v>
      </c>
      <c r="H13" s="4" t="s">
        <v>354</v>
      </c>
      <c r="I13" s="13">
        <v>1227002</v>
      </c>
      <c r="J13" s="4" t="s">
        <v>267</v>
      </c>
      <c r="K13" s="4" t="s">
        <v>280</v>
      </c>
      <c r="L13" s="4" t="s">
        <v>280</v>
      </c>
      <c r="M13" s="47" t="str">
        <f t="shared" si="0"/>
        <v>HRM:[Advance][Collection][Cash]</v>
      </c>
      <c r="O13" s="57" t="s">
        <v>449</v>
      </c>
    </row>
    <row r="14" spans="1:15" x14ac:dyDescent="0.35">
      <c r="B14" s="4" t="s">
        <v>311</v>
      </c>
      <c r="C14" s="60" t="s">
        <v>303</v>
      </c>
      <c r="D14" s="4">
        <v>30</v>
      </c>
      <c r="E14" s="4" t="s">
        <v>183</v>
      </c>
      <c r="F14" s="47">
        <v>3</v>
      </c>
      <c r="G14" s="4">
        <v>1</v>
      </c>
      <c r="H14" s="4" t="s">
        <v>354</v>
      </c>
      <c r="I14" s="4" t="s">
        <v>390</v>
      </c>
      <c r="J14" s="4" t="s">
        <v>390</v>
      </c>
      <c r="K14" s="4" t="s">
        <v>280</v>
      </c>
      <c r="L14" s="4" t="s">
        <v>280</v>
      </c>
      <c r="O14" s="57" t="s">
        <v>449</v>
      </c>
    </row>
    <row r="15" spans="1:15" x14ac:dyDescent="0.35">
      <c r="B15" s="4" t="s">
        <v>311</v>
      </c>
      <c r="C15" s="60" t="s">
        <v>303</v>
      </c>
      <c r="D15" s="4">
        <v>33</v>
      </c>
      <c r="E15" s="4" t="s">
        <v>229</v>
      </c>
      <c r="F15" s="4">
        <v>3</v>
      </c>
      <c r="G15" s="4">
        <v>1</v>
      </c>
      <c r="H15" s="4" t="s">
        <v>354</v>
      </c>
      <c r="I15" s="4" t="s">
        <v>390</v>
      </c>
      <c r="J15" s="4" t="s">
        <v>390</v>
      </c>
      <c r="K15" s="4" t="s">
        <v>280</v>
      </c>
      <c r="L15" s="4" t="s">
        <v>280</v>
      </c>
      <c r="O15" s="57" t="s">
        <v>449</v>
      </c>
    </row>
    <row r="16" spans="1:15" x14ac:dyDescent="0.35">
      <c r="B16" s="4" t="s">
        <v>311</v>
      </c>
      <c r="C16" s="60" t="s">
        <v>303</v>
      </c>
      <c r="D16" s="4">
        <v>34</v>
      </c>
      <c r="E16" s="4" t="s">
        <v>230</v>
      </c>
      <c r="F16" s="47">
        <v>3</v>
      </c>
      <c r="G16" s="4">
        <v>1</v>
      </c>
      <c r="H16" s="4" t="s">
        <v>354</v>
      </c>
      <c r="I16" s="4" t="s">
        <v>390</v>
      </c>
      <c r="J16" s="4" t="s">
        <v>390</v>
      </c>
      <c r="K16" s="4" t="s">
        <v>280</v>
      </c>
      <c r="L16" s="4" t="s">
        <v>280</v>
      </c>
      <c r="O16" s="57" t="s">
        <v>449</v>
      </c>
    </row>
    <row r="17" spans="2:15" x14ac:dyDescent="0.35">
      <c r="B17" s="4" t="s">
        <v>311</v>
      </c>
      <c r="C17" s="60" t="s">
        <v>303</v>
      </c>
      <c r="D17" s="4">
        <v>32</v>
      </c>
      <c r="E17" s="4" t="s">
        <v>228</v>
      </c>
      <c r="F17" s="4">
        <v>3</v>
      </c>
      <c r="G17" s="4">
        <v>1</v>
      </c>
      <c r="H17" s="4" t="s">
        <v>354</v>
      </c>
      <c r="I17" s="1" t="s">
        <v>315</v>
      </c>
      <c r="J17" s="4" t="s">
        <v>316</v>
      </c>
      <c r="K17" s="4" t="s">
        <v>280</v>
      </c>
      <c r="L17" s="4" t="s">
        <v>280</v>
      </c>
      <c r="O17" s="57" t="s">
        <v>449</v>
      </c>
    </row>
    <row r="18" spans="2:15" x14ac:dyDescent="0.35">
      <c r="B18" s="4" t="s">
        <v>311</v>
      </c>
      <c r="C18" s="60" t="s">
        <v>303</v>
      </c>
      <c r="D18" s="4">
        <v>35</v>
      </c>
      <c r="E18" s="4" t="s">
        <v>231</v>
      </c>
      <c r="F18" s="47">
        <v>3</v>
      </c>
      <c r="G18" s="4">
        <v>1</v>
      </c>
      <c r="H18" s="4" t="s">
        <v>354</v>
      </c>
      <c r="I18" s="1" t="s">
        <v>315</v>
      </c>
      <c r="J18" s="4" t="s">
        <v>316</v>
      </c>
      <c r="K18" s="4" t="s">
        <v>280</v>
      </c>
      <c r="L18" s="4" t="s">
        <v>280</v>
      </c>
      <c r="O18" s="57" t="s">
        <v>449</v>
      </c>
    </row>
    <row r="19" spans="2:15" x14ac:dyDescent="0.35">
      <c r="B19" s="4" t="s">
        <v>311</v>
      </c>
      <c r="C19" s="60" t="s">
        <v>303</v>
      </c>
      <c r="D19" s="4">
        <v>44</v>
      </c>
      <c r="E19" s="4" t="s">
        <v>237</v>
      </c>
      <c r="F19" s="4">
        <v>3</v>
      </c>
      <c r="G19" s="4">
        <v>1</v>
      </c>
      <c r="H19" s="4" t="s">
        <v>354</v>
      </c>
      <c r="I19" s="1" t="s">
        <v>315</v>
      </c>
      <c r="J19" s="4" t="s">
        <v>316</v>
      </c>
      <c r="K19" s="4" t="s">
        <v>280</v>
      </c>
      <c r="L19" s="4" t="s">
        <v>280</v>
      </c>
      <c r="O19" s="57" t="s">
        <v>449</v>
      </c>
    </row>
    <row r="20" spans="2:15" x14ac:dyDescent="0.35">
      <c r="B20" s="4" t="s">
        <v>311</v>
      </c>
      <c r="C20" s="60" t="s">
        <v>303</v>
      </c>
      <c r="D20" s="4">
        <v>42</v>
      </c>
      <c r="E20" s="4" t="s">
        <v>235</v>
      </c>
      <c r="F20" s="47">
        <v>3</v>
      </c>
      <c r="G20" s="4">
        <v>1</v>
      </c>
      <c r="H20" s="4" t="s">
        <v>354</v>
      </c>
      <c r="I20" s="1" t="s">
        <v>317</v>
      </c>
      <c r="J20" s="4" t="s">
        <v>318</v>
      </c>
      <c r="K20" s="4" t="s">
        <v>280</v>
      </c>
      <c r="L20" s="4" t="s">
        <v>280</v>
      </c>
      <c r="O20" s="57" t="s">
        <v>449</v>
      </c>
    </row>
    <row r="21" spans="2:15" x14ac:dyDescent="0.35">
      <c r="B21" s="4" t="s">
        <v>311</v>
      </c>
      <c r="C21" s="4" t="s">
        <v>16</v>
      </c>
      <c r="D21" s="4">
        <v>41</v>
      </c>
      <c r="E21" s="4" t="s">
        <v>234</v>
      </c>
      <c r="F21" s="4">
        <v>3</v>
      </c>
      <c r="G21" s="4">
        <v>1</v>
      </c>
      <c r="H21" s="4" t="s">
        <v>354</v>
      </c>
      <c r="I21" s="1" t="s">
        <v>319</v>
      </c>
      <c r="J21" s="4" t="s">
        <v>320</v>
      </c>
      <c r="K21" s="4" t="s">
        <v>280</v>
      </c>
      <c r="L21" s="4" t="s">
        <v>280</v>
      </c>
      <c r="O21" s="57" t="s">
        <v>449</v>
      </c>
    </row>
    <row r="22" spans="2:15" x14ac:dyDescent="0.35">
      <c r="B22" s="4" t="s">
        <v>311</v>
      </c>
      <c r="C22" s="4" t="s">
        <v>41</v>
      </c>
      <c r="D22" s="4">
        <v>41</v>
      </c>
      <c r="E22" s="4" t="s">
        <v>234</v>
      </c>
      <c r="F22" s="47">
        <v>3</v>
      </c>
      <c r="G22" s="4">
        <v>1</v>
      </c>
      <c r="H22" s="4" t="s">
        <v>354</v>
      </c>
      <c r="I22" s="1" t="s">
        <v>321</v>
      </c>
      <c r="J22" s="4" t="s">
        <v>322</v>
      </c>
      <c r="K22" s="4" t="s">
        <v>280</v>
      </c>
      <c r="L22" s="4" t="s">
        <v>280</v>
      </c>
      <c r="O22" s="57" t="s">
        <v>449</v>
      </c>
    </row>
    <row r="23" spans="2:15" x14ac:dyDescent="0.35">
      <c r="B23" s="4" t="s">
        <v>311</v>
      </c>
      <c r="C23" s="4" t="s">
        <v>338</v>
      </c>
      <c r="D23" s="4">
        <v>41</v>
      </c>
      <c r="E23" s="4" t="s">
        <v>234</v>
      </c>
      <c r="F23" s="4">
        <v>3</v>
      </c>
      <c r="G23" s="4">
        <v>1</v>
      </c>
      <c r="H23" s="4" t="s">
        <v>354</v>
      </c>
      <c r="I23" s="31" t="s">
        <v>323</v>
      </c>
      <c r="J23" s="31" t="s">
        <v>324</v>
      </c>
      <c r="K23" s="4" t="s">
        <v>280</v>
      </c>
      <c r="L23" s="4" t="s">
        <v>280</v>
      </c>
      <c r="O23" s="57" t="s">
        <v>449</v>
      </c>
    </row>
    <row r="24" spans="2:15" x14ac:dyDescent="0.35">
      <c r="B24" s="4" t="s">
        <v>311</v>
      </c>
      <c r="C24" s="4" t="s">
        <v>16</v>
      </c>
      <c r="D24" s="4">
        <v>43</v>
      </c>
      <c r="E24" s="4" t="s">
        <v>236</v>
      </c>
      <c r="F24" s="47">
        <v>3</v>
      </c>
      <c r="G24" s="4">
        <v>1</v>
      </c>
      <c r="H24" s="4" t="s">
        <v>354</v>
      </c>
      <c r="I24" s="1" t="s">
        <v>325</v>
      </c>
      <c r="J24" s="4" t="s">
        <v>326</v>
      </c>
      <c r="K24" s="4" t="s">
        <v>280</v>
      </c>
      <c r="L24" s="4" t="s">
        <v>280</v>
      </c>
      <c r="O24" s="57" t="s">
        <v>449</v>
      </c>
    </row>
    <row r="25" spans="2:15" x14ac:dyDescent="0.35">
      <c r="B25" s="4" t="s">
        <v>311</v>
      </c>
      <c r="C25" s="4" t="s">
        <v>41</v>
      </c>
      <c r="D25" s="4">
        <v>43</v>
      </c>
      <c r="E25" s="4" t="s">
        <v>236</v>
      </c>
      <c r="F25" s="4">
        <v>3</v>
      </c>
      <c r="G25" s="4">
        <v>1</v>
      </c>
      <c r="H25" s="4" t="s">
        <v>354</v>
      </c>
      <c r="I25" s="1" t="s">
        <v>327</v>
      </c>
      <c r="J25" s="4" t="s">
        <v>328</v>
      </c>
      <c r="K25" s="4" t="s">
        <v>280</v>
      </c>
      <c r="L25" s="4" t="s">
        <v>280</v>
      </c>
      <c r="O25" s="57" t="s">
        <v>449</v>
      </c>
    </row>
    <row r="26" spans="2:15" x14ac:dyDescent="0.35">
      <c r="B26" s="4" t="s">
        <v>311</v>
      </c>
      <c r="C26" s="4" t="s">
        <v>338</v>
      </c>
      <c r="D26" s="4">
        <v>43</v>
      </c>
      <c r="E26" s="4" t="s">
        <v>236</v>
      </c>
      <c r="F26" s="47">
        <v>3</v>
      </c>
      <c r="G26" s="4">
        <v>1</v>
      </c>
      <c r="H26" s="4" t="s">
        <v>354</v>
      </c>
      <c r="I26" s="31" t="s">
        <v>323</v>
      </c>
      <c r="J26" s="31" t="s">
        <v>324</v>
      </c>
      <c r="K26" s="4" t="s">
        <v>280</v>
      </c>
      <c r="L26" s="4" t="s">
        <v>280</v>
      </c>
      <c r="O26" s="57" t="s">
        <v>449</v>
      </c>
    </row>
    <row r="27" spans="2:15" x14ac:dyDescent="0.35">
      <c r="B27" s="4" t="s">
        <v>311</v>
      </c>
      <c r="C27" s="61" t="s">
        <v>303</v>
      </c>
      <c r="D27" s="4">
        <v>24</v>
      </c>
      <c r="E27" s="4" t="s">
        <v>222</v>
      </c>
      <c r="F27" s="4">
        <v>3</v>
      </c>
      <c r="G27" s="4">
        <v>1</v>
      </c>
      <c r="H27" s="4" t="s">
        <v>354</v>
      </c>
      <c r="I27" s="56" t="s">
        <v>558</v>
      </c>
      <c r="J27" s="55" t="s">
        <v>559</v>
      </c>
      <c r="K27" s="4" t="s">
        <v>280</v>
      </c>
      <c r="L27" s="4" t="s">
        <v>280</v>
      </c>
      <c r="O27" s="57" t="s">
        <v>449</v>
      </c>
    </row>
    <row r="28" spans="2:15" x14ac:dyDescent="0.35">
      <c r="B28" s="4" t="s">
        <v>311</v>
      </c>
      <c r="C28" s="61" t="s">
        <v>303</v>
      </c>
      <c r="D28" s="4">
        <v>38</v>
      </c>
      <c r="E28" s="4" t="s">
        <v>330</v>
      </c>
      <c r="F28" s="4">
        <v>3</v>
      </c>
      <c r="G28" s="4">
        <v>1</v>
      </c>
      <c r="H28" s="4" t="s">
        <v>354</v>
      </c>
      <c r="I28" s="1" t="s">
        <v>390</v>
      </c>
      <c r="J28" s="4" t="s">
        <v>390</v>
      </c>
      <c r="K28" s="4" t="s">
        <v>280</v>
      </c>
      <c r="L28" s="4" t="s">
        <v>280</v>
      </c>
      <c r="O28" s="57" t="s">
        <v>449</v>
      </c>
    </row>
  </sheetData>
  <mergeCells count="2">
    <mergeCell ref="I1:J1"/>
    <mergeCell ref="K1:L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zoomScaleNormal="100" workbookViewId="0">
      <selection activeCell="C23" sqref="C23"/>
    </sheetView>
  </sheetViews>
  <sheetFormatPr defaultRowHeight="14.5" x14ac:dyDescent="0.35"/>
  <cols>
    <col min="1" max="1" width="5.1796875" bestFit="1" customWidth="1"/>
    <col min="2" max="2" width="27.54296875" bestFit="1" customWidth="1"/>
    <col min="3" max="3" width="19.54296875" customWidth="1"/>
    <col min="4" max="4" width="5.1796875" customWidth="1"/>
    <col min="5" max="5" width="12" bestFit="1" customWidth="1"/>
    <col min="6" max="6" width="27.90625" customWidth="1"/>
    <col min="7" max="7" width="52.36328125" customWidth="1"/>
    <col min="8" max="8" width="28.90625" bestFit="1" customWidth="1"/>
    <col min="9" max="9" width="59.1796875" bestFit="1" customWidth="1"/>
    <col min="10" max="10" width="35" bestFit="1" customWidth="1"/>
    <col min="11" max="11" width="60.1796875" bestFit="1" customWidth="1"/>
    <col min="12" max="12" width="64.54296875" bestFit="1" customWidth="1"/>
    <col min="13" max="13" width="12.1796875" bestFit="1" customWidth="1"/>
  </cols>
  <sheetData>
    <row r="1" spans="1:13" x14ac:dyDescent="0.35">
      <c r="A1" t="s">
        <v>272</v>
      </c>
      <c r="B1" t="s">
        <v>273</v>
      </c>
      <c r="C1" t="s">
        <v>274</v>
      </c>
      <c r="D1" t="s">
        <v>275</v>
      </c>
      <c r="E1" t="s">
        <v>356</v>
      </c>
      <c r="F1" s="150" t="s">
        <v>276</v>
      </c>
      <c r="G1" s="150"/>
      <c r="H1" s="150" t="s">
        <v>277</v>
      </c>
      <c r="I1" s="150"/>
      <c r="J1" t="s">
        <v>278</v>
      </c>
      <c r="K1" t="s">
        <v>292</v>
      </c>
      <c r="L1" t="s">
        <v>279</v>
      </c>
      <c r="M1" t="s">
        <v>437</v>
      </c>
    </row>
    <row r="2" spans="1:13" x14ac:dyDescent="0.35">
      <c r="A2" s="150"/>
      <c r="B2" s="149" t="s">
        <v>387</v>
      </c>
      <c r="C2" s="149" t="s">
        <v>194</v>
      </c>
      <c r="D2" s="151">
        <v>1</v>
      </c>
      <c r="E2" s="131" t="s">
        <v>354</v>
      </c>
      <c r="F2" t="s">
        <v>259</v>
      </c>
      <c r="G2" t="s">
        <v>260</v>
      </c>
      <c r="H2" s="10"/>
      <c r="J2" t="s">
        <v>441</v>
      </c>
      <c r="K2" s="131" t="str">
        <f>"HRM:["&amp;C2&amp;"]["&amp;B2&amp;"][{Processtype}]"</f>
        <v>HRM:[Provident Fund Loan][Disbursed][{Processtype}]</v>
      </c>
      <c r="L2" t="s">
        <v>386</v>
      </c>
      <c r="M2" s="149" t="s">
        <v>438</v>
      </c>
    </row>
    <row r="3" spans="1:13" x14ac:dyDescent="0.35">
      <c r="A3" s="150"/>
      <c r="B3" s="149"/>
      <c r="C3" s="149"/>
      <c r="D3" s="151"/>
      <c r="E3" s="131"/>
      <c r="H3" s="10" t="s">
        <v>496</v>
      </c>
      <c r="I3" s="10" t="s">
        <v>497</v>
      </c>
      <c r="J3" t="s">
        <v>442</v>
      </c>
      <c r="K3" s="131"/>
      <c r="L3" t="s">
        <v>282</v>
      </c>
      <c r="M3" s="149"/>
    </row>
    <row r="4" spans="1:13" x14ac:dyDescent="0.35">
      <c r="A4" s="150"/>
      <c r="B4" s="149"/>
      <c r="C4" s="149"/>
      <c r="D4" s="151"/>
      <c r="E4" s="131"/>
      <c r="H4" t="s">
        <v>261</v>
      </c>
      <c r="I4" t="s">
        <v>262</v>
      </c>
      <c r="J4" t="s">
        <v>443</v>
      </c>
      <c r="K4" s="131"/>
      <c r="M4" s="149"/>
    </row>
    <row r="5" spans="1:13" x14ac:dyDescent="0.35">
      <c r="B5" s="14" t="s">
        <v>387</v>
      </c>
      <c r="C5" t="s">
        <v>191</v>
      </c>
      <c r="D5">
        <v>1</v>
      </c>
      <c r="E5" t="s">
        <v>354</v>
      </c>
      <c r="F5" s="5" t="s">
        <v>242</v>
      </c>
      <c r="G5" t="s">
        <v>243</v>
      </c>
      <c r="H5" s="10" t="s">
        <v>496</v>
      </c>
      <c r="I5" s="10" t="s">
        <v>497</v>
      </c>
      <c r="J5" t="s">
        <v>281</v>
      </c>
      <c r="K5" t="str">
        <f>"HRM:["&amp;C5&amp;"]["&amp;B5&amp;"][{Processtype}]"</f>
        <v>HRM:[Motor Cycle Loan][Disbursed][{Processtype}]</v>
      </c>
      <c r="M5" t="s">
        <v>438</v>
      </c>
    </row>
    <row r="6" spans="1:13" x14ac:dyDescent="0.35">
      <c r="B6" s="14" t="s">
        <v>387</v>
      </c>
      <c r="C6" t="s">
        <v>192</v>
      </c>
      <c r="D6">
        <v>1</v>
      </c>
      <c r="E6" t="s">
        <v>354</v>
      </c>
      <c r="F6" s="5" t="s">
        <v>251</v>
      </c>
      <c r="G6" t="s">
        <v>252</v>
      </c>
      <c r="H6" s="10" t="s">
        <v>496</v>
      </c>
      <c r="I6" s="10" t="s">
        <v>497</v>
      </c>
      <c r="J6" t="s">
        <v>281</v>
      </c>
      <c r="K6" t="str">
        <f>"HRM:["&amp;C6&amp;"]["&amp;B6&amp;"][{Processtype}]"</f>
        <v>HRM:[Bi-Cycle Loan][Disbursed][{Processtype}]</v>
      </c>
      <c r="M6" t="s">
        <v>438</v>
      </c>
    </row>
    <row r="7" spans="1:13" x14ac:dyDescent="0.35">
      <c r="B7" s="14" t="s">
        <v>387</v>
      </c>
      <c r="C7" t="s">
        <v>547</v>
      </c>
      <c r="D7">
        <v>1</v>
      </c>
      <c r="E7" t="s">
        <v>354</v>
      </c>
      <c r="F7" s="5" t="s">
        <v>539</v>
      </c>
      <c r="G7" t="s">
        <v>549</v>
      </c>
      <c r="H7" s="10" t="s">
        <v>496</v>
      </c>
      <c r="I7" s="10" t="s">
        <v>497</v>
      </c>
      <c r="J7" t="s">
        <v>281</v>
      </c>
      <c r="K7" t="str">
        <f>"HRM:["&amp;C7&amp;"]["&amp;B7&amp;"][{Processtype}]"</f>
        <v>HRM:[Mobile Loan (Set Purchase)][Disbursed][{Processtype}]</v>
      </c>
      <c r="L7" t="s">
        <v>550</v>
      </c>
      <c r="M7" t="s">
        <v>438</v>
      </c>
    </row>
    <row r="8" spans="1:13" x14ac:dyDescent="0.35">
      <c r="B8" s="14" t="s">
        <v>311</v>
      </c>
      <c r="C8" t="s">
        <v>194</v>
      </c>
      <c r="D8">
        <v>1</v>
      </c>
      <c r="E8" t="s">
        <v>354</v>
      </c>
      <c r="F8" s="5" t="s">
        <v>496</v>
      </c>
      <c r="G8" t="s">
        <v>497</v>
      </c>
      <c r="H8" s="10" t="s">
        <v>259</v>
      </c>
      <c r="I8" s="10" t="s">
        <v>260</v>
      </c>
      <c r="J8" t="s">
        <v>283</v>
      </c>
      <c r="K8" t="str">
        <f>"HRM:["&amp;C8&amp;"][Collection][{Processtype}]"</f>
        <v>HRM:[Provident Fund Loan][Collection][{Processtype}]</v>
      </c>
      <c r="M8" t="s">
        <v>449</v>
      </c>
    </row>
    <row r="9" spans="1:13" x14ac:dyDescent="0.35">
      <c r="B9" s="14"/>
      <c r="D9">
        <v>2</v>
      </c>
      <c r="E9" t="s">
        <v>355</v>
      </c>
      <c r="F9" s="5" t="s">
        <v>261</v>
      </c>
      <c r="G9" t="s">
        <v>262</v>
      </c>
      <c r="H9" s="10" t="s">
        <v>263</v>
      </c>
      <c r="I9" s="10" t="s">
        <v>264</v>
      </c>
      <c r="J9" t="s">
        <v>284</v>
      </c>
      <c r="K9" t="str">
        <f>"HRM:["&amp;C9&amp;"][Collection][SC Realized]"</f>
        <v>HRM:[][Collection][SC Realized]</v>
      </c>
      <c r="L9" t="s">
        <v>282</v>
      </c>
      <c r="M9" t="s">
        <v>439</v>
      </c>
    </row>
    <row r="10" spans="1:13" x14ac:dyDescent="0.35">
      <c r="B10" s="14" t="s">
        <v>311</v>
      </c>
      <c r="C10" t="s">
        <v>191</v>
      </c>
      <c r="D10">
        <v>1</v>
      </c>
      <c r="E10" t="s">
        <v>354</v>
      </c>
      <c r="F10" s="5" t="s">
        <v>496</v>
      </c>
      <c r="G10" t="s">
        <v>497</v>
      </c>
      <c r="H10" s="10" t="s">
        <v>242</v>
      </c>
      <c r="I10" s="10" t="s">
        <v>243</v>
      </c>
      <c r="J10" t="s">
        <v>283</v>
      </c>
      <c r="K10" t="str">
        <f>"HRM:["&amp;C10&amp;"][Collection][{Processtype}]"</f>
        <v>HRM:[Motor Cycle Loan][Collection][{Processtype}]</v>
      </c>
      <c r="M10" t="s">
        <v>449</v>
      </c>
    </row>
    <row r="11" spans="1:13" x14ac:dyDescent="0.35">
      <c r="B11" s="14" t="s">
        <v>311</v>
      </c>
      <c r="C11" t="s">
        <v>191</v>
      </c>
      <c r="D11">
        <v>2</v>
      </c>
      <c r="E11" t="s">
        <v>355</v>
      </c>
      <c r="F11" s="5" t="s">
        <v>244</v>
      </c>
      <c r="G11" t="s">
        <v>245</v>
      </c>
      <c r="H11" s="10" t="s">
        <v>246</v>
      </c>
      <c r="I11" s="10" t="s">
        <v>247</v>
      </c>
      <c r="J11" t="s">
        <v>284</v>
      </c>
      <c r="K11" t="str">
        <f>"HRM:["&amp;C11&amp;"][Collection][SC Realized]"</f>
        <v>HRM:[Motor Cycle Loan][Collection][SC Realized]</v>
      </c>
      <c r="L11" t="s">
        <v>282</v>
      </c>
      <c r="M11" t="s">
        <v>439</v>
      </c>
    </row>
    <row r="12" spans="1:13" x14ac:dyDescent="0.35">
      <c r="B12" s="14" t="s">
        <v>311</v>
      </c>
      <c r="C12" t="s">
        <v>192</v>
      </c>
      <c r="D12">
        <v>1</v>
      </c>
      <c r="E12" t="s">
        <v>354</v>
      </c>
      <c r="F12" s="5" t="s">
        <v>496</v>
      </c>
      <c r="G12" t="s">
        <v>497</v>
      </c>
      <c r="H12" s="10" t="s">
        <v>251</v>
      </c>
      <c r="I12" s="10" t="s">
        <v>252</v>
      </c>
      <c r="J12" t="s">
        <v>283</v>
      </c>
      <c r="K12" t="str">
        <f>"HRM:["&amp;C12&amp;"][Collection][{Processtype}]"</f>
        <v>HRM:[Bi-Cycle Loan][Collection][{Processtype}]</v>
      </c>
      <c r="M12" t="s">
        <v>449</v>
      </c>
    </row>
    <row r="13" spans="1:13" x14ac:dyDescent="0.35">
      <c r="B13" s="14" t="s">
        <v>311</v>
      </c>
      <c r="C13" t="s">
        <v>547</v>
      </c>
      <c r="D13">
        <v>1</v>
      </c>
      <c r="E13" t="s">
        <v>354</v>
      </c>
      <c r="F13" s="5" t="s">
        <v>496</v>
      </c>
      <c r="G13" t="s">
        <v>497</v>
      </c>
      <c r="H13" s="10" t="s">
        <v>539</v>
      </c>
      <c r="I13" s="10" t="s">
        <v>549</v>
      </c>
      <c r="J13" t="s">
        <v>283</v>
      </c>
      <c r="K13" t="str">
        <f>"HRM:["&amp;C13&amp;"][Collection][{Processtype}]"</f>
        <v>HRM:[Mobile Loan (Set Purchase)][Collection][{Processtype}]</v>
      </c>
      <c r="L13" t="s">
        <v>541</v>
      </c>
      <c r="M13" t="s">
        <v>449</v>
      </c>
    </row>
    <row r="14" spans="1:13" x14ac:dyDescent="0.35">
      <c r="B14" s="14" t="s">
        <v>311</v>
      </c>
      <c r="C14" t="s">
        <v>192</v>
      </c>
      <c r="D14">
        <v>2</v>
      </c>
      <c r="E14" t="s">
        <v>355</v>
      </c>
      <c r="F14" s="5" t="s">
        <v>253</v>
      </c>
      <c r="G14" t="s">
        <v>254</v>
      </c>
      <c r="H14" s="10" t="s">
        <v>255</v>
      </c>
      <c r="I14" s="10" t="s">
        <v>256</v>
      </c>
      <c r="J14" t="s">
        <v>284</v>
      </c>
      <c r="K14" t="str">
        <f>"HRM:["&amp;C14&amp;"][Collection][SC Realized]"</f>
        <v>HRM:[Bi-Cycle Loan][Collection][SC Realized]</v>
      </c>
      <c r="L14" t="s">
        <v>282</v>
      </c>
      <c r="M14" t="s">
        <v>439</v>
      </c>
    </row>
    <row r="15" spans="1:13" x14ac:dyDescent="0.35">
      <c r="B15" s="14" t="s">
        <v>388</v>
      </c>
      <c r="C15" t="s">
        <v>194</v>
      </c>
      <c r="D15">
        <v>1</v>
      </c>
      <c r="E15" t="s">
        <v>354</v>
      </c>
      <c r="F15" s="5" t="s">
        <v>265</v>
      </c>
      <c r="G15" t="s">
        <v>266</v>
      </c>
      <c r="H15" s="10" t="s">
        <v>496</v>
      </c>
      <c r="I15" s="10" t="s">
        <v>497</v>
      </c>
      <c r="J15" t="s">
        <v>285</v>
      </c>
      <c r="K15" t="str">
        <f>"HRM:["&amp;C15&amp;"][Service Charge Exemption][Cash]"</f>
        <v>HRM:[Provident Fund Loan][Service Charge Exemption][Cash]</v>
      </c>
      <c r="L15" t="s">
        <v>286</v>
      </c>
      <c r="M15" t="s">
        <v>438</v>
      </c>
    </row>
    <row r="16" spans="1:13" x14ac:dyDescent="0.35">
      <c r="B16" s="14" t="s">
        <v>389</v>
      </c>
      <c r="C16" t="s">
        <v>191</v>
      </c>
      <c r="D16">
        <v>1</v>
      </c>
      <c r="E16" t="s">
        <v>355</v>
      </c>
      <c r="F16" s="5" t="s">
        <v>248</v>
      </c>
      <c r="G16" t="s">
        <v>249</v>
      </c>
      <c r="H16" s="10" t="s">
        <v>242</v>
      </c>
      <c r="I16" s="10" t="s">
        <v>243</v>
      </c>
      <c r="J16" t="s">
        <v>285</v>
      </c>
      <c r="K16" t="str">
        <f>"HRM:["&amp;C16&amp;"][Subsidy][Adjust]"</f>
        <v>HRM:[Motor Cycle Loan][Subsidy][Adjust]</v>
      </c>
      <c r="M16" t="s">
        <v>439</v>
      </c>
    </row>
    <row r="17" spans="2:13" x14ac:dyDescent="0.35">
      <c r="B17" s="14" t="s">
        <v>389</v>
      </c>
      <c r="C17" t="s">
        <v>192</v>
      </c>
      <c r="D17">
        <v>1</v>
      </c>
      <c r="E17" t="s">
        <v>355</v>
      </c>
      <c r="F17" s="5" t="s">
        <v>257</v>
      </c>
      <c r="G17" t="s">
        <v>258</v>
      </c>
      <c r="H17" s="10" t="s">
        <v>251</v>
      </c>
      <c r="I17" s="10" t="s">
        <v>252</v>
      </c>
      <c r="J17" t="s">
        <v>285</v>
      </c>
      <c r="K17" t="str">
        <f>"HRM:["&amp;C17&amp;"][Subsidy][Adjust]"</f>
        <v>HRM:[Bi-Cycle Loan][Subsidy][Adjust]</v>
      </c>
      <c r="M17" t="s">
        <v>439</v>
      </c>
    </row>
    <row r="18" spans="2:13" x14ac:dyDescent="0.35">
      <c r="B18" s="14" t="s">
        <v>389</v>
      </c>
      <c r="C18" t="s">
        <v>547</v>
      </c>
      <c r="D18">
        <v>1</v>
      </c>
      <c r="E18" t="s">
        <v>355</v>
      </c>
      <c r="F18" s="5" t="s">
        <v>545</v>
      </c>
      <c r="G18" t="s">
        <v>551</v>
      </c>
      <c r="H18" s="10" t="s">
        <v>539</v>
      </c>
      <c r="I18" s="10" t="s">
        <v>549</v>
      </c>
      <c r="J18" t="s">
        <v>285</v>
      </c>
      <c r="K18" t="str">
        <f>"HRM:["&amp;C18&amp;"][Subsidy][Adjust]"</f>
        <v>HRM:[Mobile Loan (Set Purchase)][Subsidy][Adjust]</v>
      </c>
      <c r="L18" t="s">
        <v>541</v>
      </c>
      <c r="M18" t="s">
        <v>439</v>
      </c>
    </row>
    <row r="19" spans="2:13" x14ac:dyDescent="0.35">
      <c r="B19" s="14" t="s">
        <v>501</v>
      </c>
      <c r="C19" t="s">
        <v>191</v>
      </c>
      <c r="D19">
        <v>1</v>
      </c>
      <c r="E19" t="s">
        <v>354</v>
      </c>
      <c r="F19" s="5" t="s">
        <v>496</v>
      </c>
      <c r="G19" t="s">
        <v>497</v>
      </c>
      <c r="H19" s="10">
        <v>3050399099</v>
      </c>
      <c r="I19" s="10" t="s">
        <v>250</v>
      </c>
      <c r="J19" t="s">
        <v>285</v>
      </c>
      <c r="K19" t="str">
        <f>"HRM:["&amp;C19&amp;"][Late Fee][{Processtype}]"</f>
        <v>HRM:[Motor Cycle Loan][Late Fee][{Processtype}]</v>
      </c>
      <c r="M19" t="s">
        <v>449</v>
      </c>
    </row>
    <row r="20" spans="2:13" x14ac:dyDescent="0.35">
      <c r="B20" s="14" t="s">
        <v>499</v>
      </c>
      <c r="C20" t="s">
        <v>192</v>
      </c>
      <c r="D20">
        <v>1</v>
      </c>
      <c r="E20" t="s">
        <v>354</v>
      </c>
      <c r="F20" s="5" t="s">
        <v>496</v>
      </c>
      <c r="G20" t="s">
        <v>497</v>
      </c>
      <c r="H20" s="10">
        <v>3050399099</v>
      </c>
      <c r="I20" s="10" t="s">
        <v>250</v>
      </c>
      <c r="J20" t="s">
        <v>285</v>
      </c>
      <c r="K20" t="str">
        <f t="shared" ref="K20:K21" si="0">"HRM:["&amp;C20&amp;"][Late Fee][{Processtype}]"</f>
        <v>HRM:[Bi-Cycle Loan][Late Fee][{Processtype}]</v>
      </c>
      <c r="M20" t="s">
        <v>449</v>
      </c>
    </row>
    <row r="21" spans="2:13" x14ac:dyDescent="0.35">
      <c r="B21" s="14" t="s">
        <v>499</v>
      </c>
      <c r="C21" t="s">
        <v>547</v>
      </c>
      <c r="D21">
        <v>1</v>
      </c>
      <c r="E21" t="s">
        <v>354</v>
      </c>
      <c r="F21" s="5" t="s">
        <v>496</v>
      </c>
      <c r="G21" t="s">
        <v>497</v>
      </c>
      <c r="H21" s="10">
        <v>3050399099</v>
      </c>
      <c r="I21" s="10" t="s">
        <v>250</v>
      </c>
      <c r="J21" t="s">
        <v>285</v>
      </c>
      <c r="K21" t="str">
        <f t="shared" si="0"/>
        <v>HRM:[Mobile Loan (Set Purchase)][Late Fee][{Processtype}]</v>
      </c>
      <c r="L21" t="s">
        <v>541</v>
      </c>
      <c r="M21" t="s">
        <v>449</v>
      </c>
    </row>
    <row r="22" spans="2:13" x14ac:dyDescent="0.35">
      <c r="B22" s="14"/>
      <c r="F22" s="5"/>
      <c r="H22" s="10"/>
      <c r="I22" s="10"/>
    </row>
    <row r="23" spans="2:13" x14ac:dyDescent="0.35">
      <c r="B23" s="14" t="s">
        <v>499</v>
      </c>
      <c r="C23" t="s">
        <v>194</v>
      </c>
      <c r="D23">
        <v>1</v>
      </c>
      <c r="E23" t="s">
        <v>498</v>
      </c>
      <c r="F23" s="5" t="s">
        <v>259</v>
      </c>
      <c r="G23" t="s">
        <v>260</v>
      </c>
      <c r="H23" s="10" t="s">
        <v>261</v>
      </c>
      <c r="I23" s="10" t="s">
        <v>262</v>
      </c>
      <c r="J23" t="s">
        <v>285</v>
      </c>
      <c r="K23" t="str">
        <f>"HRM:["&amp;C23&amp;"][Late Fee][{Processtype}]"</f>
        <v>HRM:[Provident Fund Loan][Late Fee][{Processtype}]</v>
      </c>
      <c r="M23" t="s">
        <v>439</v>
      </c>
    </row>
    <row r="24" spans="2:13" x14ac:dyDescent="0.35">
      <c r="B24" s="14"/>
      <c r="D24">
        <v>1</v>
      </c>
      <c r="E24" t="s">
        <v>498</v>
      </c>
      <c r="F24" s="5" t="s">
        <v>496</v>
      </c>
      <c r="G24" t="s">
        <v>497</v>
      </c>
      <c r="H24" s="10" t="s">
        <v>259</v>
      </c>
      <c r="I24" s="10" t="s">
        <v>260</v>
      </c>
      <c r="J24" t="s">
        <v>285</v>
      </c>
      <c r="K24" t="str">
        <f>"HRM:["&amp;C23&amp;"][Late Fee][{Processtype}]"</f>
        <v>HRM:[Provident Fund Loan][Late Fee][{Processtype}]</v>
      </c>
      <c r="M24" t="s">
        <v>449</v>
      </c>
    </row>
    <row r="25" spans="2:13" x14ac:dyDescent="0.35">
      <c r="B25" s="14"/>
      <c r="D25">
        <v>1</v>
      </c>
      <c r="E25" t="s">
        <v>498</v>
      </c>
      <c r="F25" s="5" t="s">
        <v>261</v>
      </c>
      <c r="G25" t="s">
        <v>262</v>
      </c>
      <c r="H25" s="10" t="s">
        <v>263</v>
      </c>
      <c r="I25" s="10" t="s">
        <v>264</v>
      </c>
      <c r="J25" t="s">
        <v>285</v>
      </c>
      <c r="K25" t="str">
        <f>"HRM:["&amp;C23&amp;"][Late Fee][{Processtype}]"</f>
        <v>HRM:[Provident Fund Loan][Late Fee][{Processtype}]</v>
      </c>
      <c r="M25" t="s">
        <v>439</v>
      </c>
    </row>
  </sheetData>
  <mergeCells count="9">
    <mergeCell ref="A2:A4"/>
    <mergeCell ref="C2:C4"/>
    <mergeCell ref="B2:B4"/>
    <mergeCell ref="D2:D4"/>
    <mergeCell ref="M2:M4"/>
    <mergeCell ref="E2:E4"/>
    <mergeCell ref="K2:K4"/>
    <mergeCell ref="F1:G1"/>
    <mergeCell ref="H1:I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7"/>
  <sheetViews>
    <sheetView workbookViewId="0">
      <pane ySplit="1" topLeftCell="A29" activePane="bottomLeft" state="frozen"/>
      <selection pane="bottomLeft" activeCell="E15" sqref="E15"/>
    </sheetView>
  </sheetViews>
  <sheetFormatPr defaultRowHeight="14.5" x14ac:dyDescent="0.35"/>
  <cols>
    <col min="1" max="1" width="5.7265625" bestFit="1" customWidth="1"/>
    <col min="2" max="2" width="39.54296875" bestFit="1" customWidth="1"/>
    <col min="3" max="3" width="17.81640625" customWidth="1"/>
    <col min="4" max="4" width="17.81640625" bestFit="1" customWidth="1"/>
    <col min="5" max="5" width="19.453125" bestFit="1" customWidth="1"/>
    <col min="6" max="6" width="5.54296875" customWidth="1"/>
    <col min="7" max="7" width="12.1796875" bestFit="1" customWidth="1"/>
    <col min="8" max="8" width="14.6328125" customWidth="1"/>
    <col min="9" max="9" width="47.90625" customWidth="1"/>
    <col min="10" max="10" width="14.1796875" bestFit="1" customWidth="1"/>
    <col min="11" max="11" width="50.81640625" customWidth="1"/>
    <col min="12" max="12" width="15.6328125" customWidth="1"/>
    <col min="13" max="13" width="45.54296875" bestFit="1" customWidth="1"/>
    <col min="14" max="14" width="17.7265625" customWidth="1"/>
    <col min="15" max="15" width="71.36328125" bestFit="1" customWidth="1"/>
    <col min="16" max="16" width="20" bestFit="1" customWidth="1"/>
  </cols>
  <sheetData>
    <row r="1" spans="1:15" x14ac:dyDescent="0.35">
      <c r="A1" s="16" t="s">
        <v>272</v>
      </c>
      <c r="B1" s="16" t="s">
        <v>287</v>
      </c>
      <c r="C1" s="16" t="s">
        <v>384</v>
      </c>
      <c r="D1" s="16" t="s">
        <v>273</v>
      </c>
      <c r="E1" s="16" t="s">
        <v>359</v>
      </c>
      <c r="F1" s="16" t="s">
        <v>275</v>
      </c>
      <c r="G1" s="16" t="s">
        <v>356</v>
      </c>
      <c r="H1" s="152" t="s">
        <v>276</v>
      </c>
      <c r="I1" s="152"/>
      <c r="J1" s="153" t="s">
        <v>277</v>
      </c>
      <c r="K1" s="153"/>
      <c r="L1" t="s">
        <v>278</v>
      </c>
      <c r="M1" t="s">
        <v>292</v>
      </c>
      <c r="N1" t="s">
        <v>437</v>
      </c>
      <c r="O1" t="s">
        <v>371</v>
      </c>
    </row>
    <row r="2" spans="1:15" ht="14.5" customHeight="1" x14ac:dyDescent="0.35">
      <c r="B2" s="131" t="s">
        <v>399</v>
      </c>
      <c r="C2" s="154" t="s">
        <v>382</v>
      </c>
      <c r="D2" s="10" t="s">
        <v>380</v>
      </c>
      <c r="E2" s="10" t="s">
        <v>194</v>
      </c>
      <c r="F2" s="10">
        <v>1</v>
      </c>
      <c r="G2" s="10" t="s">
        <v>355</v>
      </c>
      <c r="H2" s="10" t="s">
        <v>259</v>
      </c>
      <c r="I2" s="10" t="s">
        <v>260</v>
      </c>
      <c r="J2" s="2" t="s">
        <v>360</v>
      </c>
      <c r="K2" s="4" t="s">
        <v>361</v>
      </c>
      <c r="L2" s="30" t="s">
        <v>444</v>
      </c>
      <c r="M2" s="10" t="str">
        <f>"HRM:["&amp;E2&amp;"][Collection][Transfer]"</f>
        <v>HRM:[Provident Fund Loan][Collection][Transfer]</v>
      </c>
      <c r="N2" t="s">
        <v>439</v>
      </c>
    </row>
    <row r="3" spans="1:15" x14ac:dyDescent="0.35">
      <c r="B3" s="131"/>
      <c r="C3" s="154"/>
      <c r="D3" s="10" t="s">
        <v>380</v>
      </c>
      <c r="E3" s="10" t="s">
        <v>194</v>
      </c>
      <c r="F3" s="10">
        <v>2</v>
      </c>
      <c r="G3" s="10" t="s">
        <v>355</v>
      </c>
      <c r="H3" s="2" t="s">
        <v>362</v>
      </c>
      <c r="I3" s="4" t="s">
        <v>363</v>
      </c>
      <c r="J3" s="10" t="s">
        <v>261</v>
      </c>
      <c r="K3" s="10" t="s">
        <v>262</v>
      </c>
      <c r="L3" s="30" t="s">
        <v>445</v>
      </c>
      <c r="M3" s="10" t="str">
        <f t="shared" ref="M3:M6" si="0">"HRM:["&amp;E3&amp;"][Collection][Transfer]"</f>
        <v>HRM:[Provident Fund Loan][Collection][Transfer]</v>
      </c>
      <c r="N3" t="s">
        <v>439</v>
      </c>
    </row>
    <row r="4" spans="1:15" x14ac:dyDescent="0.35">
      <c r="B4" s="131"/>
      <c r="C4" s="154"/>
      <c r="D4" s="10" t="s">
        <v>380</v>
      </c>
      <c r="E4" s="10" t="s">
        <v>191</v>
      </c>
      <c r="F4" s="10">
        <v>1</v>
      </c>
      <c r="G4" s="10" t="s">
        <v>355</v>
      </c>
      <c r="H4" s="21" t="s">
        <v>242</v>
      </c>
      <c r="I4" s="10" t="s">
        <v>243</v>
      </c>
      <c r="J4" s="2" t="s">
        <v>366</v>
      </c>
      <c r="K4" s="4" t="s">
        <v>367</v>
      </c>
      <c r="L4" s="30" t="s">
        <v>446</v>
      </c>
      <c r="M4" s="10" t="str">
        <f t="shared" si="0"/>
        <v>HRM:[Motor Cycle Loan][Collection][Transfer]</v>
      </c>
      <c r="N4" t="s">
        <v>439</v>
      </c>
      <c r="O4" t="s">
        <v>372</v>
      </c>
    </row>
    <row r="5" spans="1:15" x14ac:dyDescent="0.35">
      <c r="B5" s="131"/>
      <c r="C5" s="154"/>
      <c r="D5" s="10" t="s">
        <v>380</v>
      </c>
      <c r="E5" s="10" t="s">
        <v>192</v>
      </c>
      <c r="F5" s="10">
        <v>1</v>
      </c>
      <c r="G5" s="10" t="s">
        <v>355</v>
      </c>
      <c r="H5" s="10" t="s">
        <v>251</v>
      </c>
      <c r="I5" s="10" t="s">
        <v>252</v>
      </c>
      <c r="J5" s="2" t="s">
        <v>368</v>
      </c>
      <c r="K5" s="4" t="s">
        <v>369</v>
      </c>
      <c r="L5" s="30" t="s">
        <v>446</v>
      </c>
      <c r="M5" s="10" t="str">
        <f t="shared" si="0"/>
        <v>HRM:[Bi-Cycle Loan][Collection][Transfer]</v>
      </c>
      <c r="N5" t="s">
        <v>439</v>
      </c>
      <c r="O5" t="s">
        <v>372</v>
      </c>
    </row>
    <row r="6" spans="1:15" x14ac:dyDescent="0.35">
      <c r="B6" s="131"/>
      <c r="C6" s="154"/>
      <c r="D6" s="10" t="s">
        <v>380</v>
      </c>
      <c r="E6" s="10" t="s">
        <v>223</v>
      </c>
      <c r="F6" s="10">
        <v>1</v>
      </c>
      <c r="G6" s="10" t="s">
        <v>355</v>
      </c>
      <c r="H6" s="13">
        <v>1227002</v>
      </c>
      <c r="I6" s="4" t="s">
        <v>267</v>
      </c>
      <c r="J6" s="2" t="s">
        <v>373</v>
      </c>
      <c r="K6" s="4" t="s">
        <v>374</v>
      </c>
      <c r="L6" s="30" t="s">
        <v>447</v>
      </c>
      <c r="M6" s="10" t="str">
        <f t="shared" si="0"/>
        <v>HRM:[Advance][Collection][Transfer]</v>
      </c>
      <c r="N6" t="s">
        <v>439</v>
      </c>
    </row>
    <row r="7" spans="1:15" x14ac:dyDescent="0.35">
      <c r="B7" s="131"/>
      <c r="C7" s="154"/>
      <c r="D7" s="10" t="s">
        <v>380</v>
      </c>
      <c r="E7" s="10" t="s">
        <v>205</v>
      </c>
      <c r="F7" s="10">
        <v>1</v>
      </c>
      <c r="G7" s="10" t="s">
        <v>355</v>
      </c>
      <c r="H7" s="2" t="s">
        <v>376</v>
      </c>
      <c r="I7" s="4" t="s">
        <v>377</v>
      </c>
      <c r="J7" s="2" t="s">
        <v>270</v>
      </c>
      <c r="K7" s="4" t="s">
        <v>271</v>
      </c>
      <c r="L7" s="30" t="s">
        <v>448</v>
      </c>
      <c r="M7" s="10" t="s">
        <v>385</v>
      </c>
      <c r="N7" t="s">
        <v>439</v>
      </c>
    </row>
    <row r="8" spans="1:15" s="49" customFormat="1" x14ac:dyDescent="0.35">
      <c r="B8" s="131"/>
      <c r="C8" s="154"/>
      <c r="D8" s="50" t="s">
        <v>380</v>
      </c>
      <c r="E8" s="49" t="s">
        <v>547</v>
      </c>
      <c r="F8" s="50">
        <v>1</v>
      </c>
      <c r="G8" s="50" t="s">
        <v>355</v>
      </c>
      <c r="H8" s="51" t="s">
        <v>539</v>
      </c>
      <c r="I8" s="51" t="s">
        <v>549</v>
      </c>
      <c r="J8" s="51" t="s">
        <v>540</v>
      </c>
      <c r="K8" s="50" t="s">
        <v>552</v>
      </c>
      <c r="L8" s="52" t="s">
        <v>446</v>
      </c>
      <c r="M8" s="50" t="str">
        <f>"HRM:["&amp;E8&amp;"][Collection][Transfer]"</f>
        <v>HRM:[Mobile Loan (Set Purchase)][Collection][Transfer]</v>
      </c>
      <c r="N8" s="49" t="s">
        <v>439</v>
      </c>
      <c r="O8" s="49" t="s">
        <v>542</v>
      </c>
    </row>
    <row r="9" spans="1:15" ht="14.5" customHeight="1" x14ac:dyDescent="0.35">
      <c r="B9" s="131"/>
      <c r="C9" s="155" t="s">
        <v>383</v>
      </c>
      <c r="D9" s="28" t="s">
        <v>381</v>
      </c>
      <c r="E9" s="28" t="s">
        <v>194</v>
      </c>
      <c r="F9" s="28">
        <v>1</v>
      </c>
      <c r="G9" s="28" t="s">
        <v>355</v>
      </c>
      <c r="H9" s="28" t="s">
        <v>259</v>
      </c>
      <c r="I9" s="28" t="s">
        <v>260</v>
      </c>
      <c r="J9" s="25" t="s">
        <v>360</v>
      </c>
      <c r="K9" s="26" t="s">
        <v>361</v>
      </c>
      <c r="L9" s="28" t="s">
        <v>365</v>
      </c>
      <c r="M9" s="28" t="str">
        <f>"HRM:["&amp;E2&amp;"][Disbursed][Transfer]"</f>
        <v>HRM:[Provident Fund Loan][Disbursed][Transfer]</v>
      </c>
      <c r="N9" t="s">
        <v>439</v>
      </c>
    </row>
    <row r="10" spans="1:15" x14ac:dyDescent="0.35">
      <c r="B10" s="131"/>
      <c r="C10" s="155"/>
      <c r="D10" s="28" t="s">
        <v>381</v>
      </c>
      <c r="E10" s="28" t="s">
        <v>194</v>
      </c>
      <c r="F10" s="28">
        <v>2</v>
      </c>
      <c r="G10" s="28" t="s">
        <v>355</v>
      </c>
      <c r="H10" s="25" t="s">
        <v>362</v>
      </c>
      <c r="I10" s="26" t="s">
        <v>363</v>
      </c>
      <c r="J10" s="28" t="s">
        <v>261</v>
      </c>
      <c r="K10" s="28" t="s">
        <v>262</v>
      </c>
      <c r="L10" s="28" t="s">
        <v>364</v>
      </c>
      <c r="M10" s="28" t="str">
        <f>"HRM:["&amp;E3&amp;"][Disbursed][Transfer]"</f>
        <v>HRM:[Provident Fund Loan][Disbursed][Transfer]</v>
      </c>
      <c r="N10" t="s">
        <v>439</v>
      </c>
    </row>
    <row r="11" spans="1:15" x14ac:dyDescent="0.35">
      <c r="B11" s="131"/>
      <c r="C11" s="155"/>
      <c r="D11" s="28" t="s">
        <v>381</v>
      </c>
      <c r="E11" s="28" t="s">
        <v>191</v>
      </c>
      <c r="F11" s="28">
        <v>1</v>
      </c>
      <c r="G11" s="28" t="s">
        <v>355</v>
      </c>
      <c r="H11" s="29" t="s">
        <v>242</v>
      </c>
      <c r="I11" s="28" t="s">
        <v>243</v>
      </c>
      <c r="J11" s="25" t="s">
        <v>366</v>
      </c>
      <c r="K11" s="26" t="s">
        <v>367</v>
      </c>
      <c r="L11" s="28" t="s">
        <v>370</v>
      </c>
      <c r="M11" s="28" t="str">
        <f>"HRM:["&amp;E4&amp;"][Disbursed][Transfer]"</f>
        <v>HRM:[Motor Cycle Loan][Disbursed][Transfer]</v>
      </c>
      <c r="N11" t="s">
        <v>439</v>
      </c>
    </row>
    <row r="12" spans="1:15" x14ac:dyDescent="0.35">
      <c r="B12" s="131"/>
      <c r="C12" s="155"/>
      <c r="D12" s="28" t="s">
        <v>381</v>
      </c>
      <c r="E12" s="28" t="s">
        <v>192</v>
      </c>
      <c r="F12" s="28">
        <v>1</v>
      </c>
      <c r="G12" s="28" t="s">
        <v>355</v>
      </c>
      <c r="H12" s="28" t="s">
        <v>251</v>
      </c>
      <c r="I12" s="28" t="s">
        <v>252</v>
      </c>
      <c r="J12" s="25" t="s">
        <v>368</v>
      </c>
      <c r="K12" s="26" t="s">
        <v>369</v>
      </c>
      <c r="L12" s="28" t="s">
        <v>370</v>
      </c>
      <c r="M12" s="28" t="str">
        <f>"HRM:["&amp;E5&amp;"][Disbursed][Transfer]"</f>
        <v>HRM:[Bi-Cycle Loan][Disbursed][Transfer]</v>
      </c>
      <c r="N12" t="s">
        <v>439</v>
      </c>
    </row>
    <row r="13" spans="1:15" x14ac:dyDescent="0.35">
      <c r="B13" s="131"/>
      <c r="C13" s="155"/>
      <c r="D13" s="28" t="s">
        <v>381</v>
      </c>
      <c r="E13" s="28" t="s">
        <v>223</v>
      </c>
      <c r="F13" s="28">
        <v>1</v>
      </c>
      <c r="G13" s="28" t="s">
        <v>355</v>
      </c>
      <c r="H13" s="27">
        <v>1227002</v>
      </c>
      <c r="I13" s="26" t="s">
        <v>267</v>
      </c>
      <c r="J13" s="25" t="s">
        <v>373</v>
      </c>
      <c r="K13" s="26" t="s">
        <v>374</v>
      </c>
      <c r="L13" s="28" t="s">
        <v>375</v>
      </c>
      <c r="M13" s="28" t="str">
        <f>"HRM:["&amp;E6&amp;"][Payment][Transfer]"</f>
        <v>HRM:[Advance][Payment][Transfer]</v>
      </c>
      <c r="N13" t="s">
        <v>439</v>
      </c>
    </row>
    <row r="14" spans="1:15" x14ac:dyDescent="0.35">
      <c r="B14" s="131"/>
      <c r="C14" s="155"/>
      <c r="D14" s="28" t="s">
        <v>381</v>
      </c>
      <c r="E14" s="28" t="s">
        <v>205</v>
      </c>
      <c r="F14" s="28">
        <v>1</v>
      </c>
      <c r="G14" s="28" t="s">
        <v>355</v>
      </c>
      <c r="H14" s="25" t="s">
        <v>376</v>
      </c>
      <c r="I14" s="26" t="s">
        <v>377</v>
      </c>
      <c r="J14" s="25" t="s">
        <v>270</v>
      </c>
      <c r="K14" s="26" t="s">
        <v>271</v>
      </c>
      <c r="L14" s="28" t="s">
        <v>378</v>
      </c>
      <c r="M14" s="28" t="s">
        <v>385</v>
      </c>
      <c r="N14" t="s">
        <v>439</v>
      </c>
    </row>
    <row r="15" spans="1:15" x14ac:dyDescent="0.35">
      <c r="B15" s="131"/>
      <c r="C15" s="155"/>
      <c r="D15" s="10" t="s">
        <v>381</v>
      </c>
      <c r="E15" t="s">
        <v>547</v>
      </c>
      <c r="F15" s="10">
        <v>1</v>
      </c>
      <c r="G15" s="10" t="s">
        <v>355</v>
      </c>
      <c r="H15" s="21" t="s">
        <v>539</v>
      </c>
      <c r="I15" s="21" t="s">
        <v>549</v>
      </c>
      <c r="J15" s="21" t="s">
        <v>540</v>
      </c>
      <c r="K15" s="10" t="s">
        <v>552</v>
      </c>
      <c r="L15" s="10" t="s">
        <v>370</v>
      </c>
      <c r="M15" s="10" t="str">
        <f>"HRM:["&amp;E15&amp;"][Disbursed][Transfer]"</f>
        <v>HRM:[Mobile Loan (Set Purchase)][Disbursed][Transfer]</v>
      </c>
      <c r="N15" t="s">
        <v>439</v>
      </c>
      <c r="O15" t="s">
        <v>542</v>
      </c>
    </row>
    <row r="17" spans="2:15" ht="14.5" customHeight="1" x14ac:dyDescent="0.35">
      <c r="B17" s="141" t="s">
        <v>400</v>
      </c>
      <c r="C17" s="140" t="s">
        <v>382</v>
      </c>
      <c r="D17" s="10" t="s">
        <v>380</v>
      </c>
      <c r="E17" s="10" t="s">
        <v>194</v>
      </c>
      <c r="F17" s="10">
        <v>1</v>
      </c>
      <c r="G17" s="10" t="s">
        <v>355</v>
      </c>
      <c r="H17" s="10" t="s">
        <v>259</v>
      </c>
      <c r="I17" s="10" t="s">
        <v>260</v>
      </c>
      <c r="J17" s="21" t="s">
        <v>414</v>
      </c>
      <c r="K17" s="10" t="s">
        <v>401</v>
      </c>
      <c r="L17" s="30" t="s">
        <v>444</v>
      </c>
      <c r="M17" s="10" t="str">
        <f>"HRM:["&amp;E17&amp;"][Collection][Transfer]"</f>
        <v>HRM:[Provident Fund Loan][Collection][Transfer]</v>
      </c>
      <c r="N17" t="s">
        <v>439</v>
      </c>
    </row>
    <row r="18" spans="2:15" x14ac:dyDescent="0.35">
      <c r="B18" s="141"/>
      <c r="C18" s="141"/>
      <c r="D18" s="10" t="s">
        <v>380</v>
      </c>
      <c r="E18" s="10" t="s">
        <v>194</v>
      </c>
      <c r="F18" s="10">
        <v>1</v>
      </c>
      <c r="G18" s="10" t="s">
        <v>355</v>
      </c>
      <c r="H18" s="2" t="s">
        <v>362</v>
      </c>
      <c r="I18" s="4" t="s">
        <v>363</v>
      </c>
      <c r="J18" s="10" t="s">
        <v>261</v>
      </c>
      <c r="K18" s="10" t="s">
        <v>262</v>
      </c>
      <c r="L18" s="30" t="s">
        <v>445</v>
      </c>
      <c r="M18" s="10" t="str">
        <f t="shared" ref="M18:M23" si="1">"HRM:["&amp;E18&amp;"][Collection][Transfer]"</f>
        <v>HRM:[Provident Fund Loan][Collection][Transfer]</v>
      </c>
      <c r="N18" t="s">
        <v>439</v>
      </c>
    </row>
    <row r="19" spans="2:15" x14ac:dyDescent="0.35">
      <c r="B19" s="141"/>
      <c r="C19" s="141"/>
      <c r="D19" s="10" t="s">
        <v>380</v>
      </c>
      <c r="E19" s="10" t="s">
        <v>191</v>
      </c>
      <c r="F19" s="10">
        <v>1</v>
      </c>
      <c r="G19" s="10" t="s">
        <v>355</v>
      </c>
      <c r="H19" s="21" t="s">
        <v>242</v>
      </c>
      <c r="I19" s="10" t="s">
        <v>243</v>
      </c>
      <c r="J19" s="21" t="s">
        <v>411</v>
      </c>
      <c r="K19" s="10" t="s">
        <v>402</v>
      </c>
      <c r="L19" s="30" t="s">
        <v>446</v>
      </c>
      <c r="M19" s="10" t="str">
        <f t="shared" si="1"/>
        <v>HRM:[Motor Cycle Loan][Collection][Transfer]</v>
      </c>
      <c r="N19" t="s">
        <v>439</v>
      </c>
    </row>
    <row r="20" spans="2:15" x14ac:dyDescent="0.35">
      <c r="B20" s="141"/>
      <c r="C20" s="141"/>
      <c r="D20" s="10" t="s">
        <v>380</v>
      </c>
      <c r="E20" s="10" t="s">
        <v>192</v>
      </c>
      <c r="F20" s="10">
        <v>1</v>
      </c>
      <c r="G20" s="10" t="s">
        <v>355</v>
      </c>
      <c r="H20" s="10" t="s">
        <v>251</v>
      </c>
      <c r="I20" s="10" t="s">
        <v>252</v>
      </c>
      <c r="J20" s="21" t="s">
        <v>412</v>
      </c>
      <c r="K20" s="10" t="s">
        <v>403</v>
      </c>
      <c r="L20" s="30" t="s">
        <v>446</v>
      </c>
      <c r="M20" s="10" t="str">
        <f t="shared" si="1"/>
        <v>HRM:[Bi-Cycle Loan][Collection][Transfer]</v>
      </c>
      <c r="N20" t="s">
        <v>439</v>
      </c>
    </row>
    <row r="21" spans="2:15" x14ac:dyDescent="0.35">
      <c r="B21" s="141"/>
      <c r="C21" s="141"/>
      <c r="D21" s="10" t="s">
        <v>380</v>
      </c>
      <c r="E21" s="10" t="s">
        <v>223</v>
      </c>
      <c r="F21" s="10">
        <v>1</v>
      </c>
      <c r="G21" s="10" t="s">
        <v>355</v>
      </c>
      <c r="H21" s="13">
        <v>1227002</v>
      </c>
      <c r="I21" s="4" t="s">
        <v>267</v>
      </c>
      <c r="J21" s="21" t="s">
        <v>413</v>
      </c>
      <c r="K21" s="10" t="s">
        <v>404</v>
      </c>
      <c r="L21" s="30" t="s">
        <v>447</v>
      </c>
      <c r="M21" s="10" t="str">
        <f t="shared" si="1"/>
        <v>HRM:[Advance][Collection][Transfer]</v>
      </c>
      <c r="N21" t="s">
        <v>439</v>
      </c>
    </row>
    <row r="22" spans="2:15" x14ac:dyDescent="0.35">
      <c r="B22" s="141"/>
      <c r="C22" s="141"/>
      <c r="D22" s="10" t="s">
        <v>380</v>
      </c>
      <c r="E22" s="10" t="s">
        <v>205</v>
      </c>
      <c r="F22" s="10">
        <v>1</v>
      </c>
      <c r="G22" s="10" t="s">
        <v>355</v>
      </c>
      <c r="H22" s="2" t="s">
        <v>376</v>
      </c>
      <c r="I22" s="4" t="s">
        <v>377</v>
      </c>
      <c r="J22" s="2" t="s">
        <v>270</v>
      </c>
      <c r="K22" s="4" t="s">
        <v>271</v>
      </c>
      <c r="L22" s="30" t="s">
        <v>448</v>
      </c>
      <c r="M22" s="10" t="str">
        <f t="shared" si="1"/>
        <v>HRM:[Employee Security][Collection][Transfer]</v>
      </c>
      <c r="N22" t="s">
        <v>439</v>
      </c>
    </row>
    <row r="23" spans="2:15" x14ac:dyDescent="0.35">
      <c r="B23" s="141"/>
      <c r="C23" s="141"/>
      <c r="D23" s="11" t="s">
        <v>380</v>
      </c>
      <c r="E23" t="s">
        <v>547</v>
      </c>
      <c r="F23" s="11">
        <v>1</v>
      </c>
      <c r="G23" s="11" t="s">
        <v>355</v>
      </c>
      <c r="H23" s="21" t="s">
        <v>539</v>
      </c>
      <c r="I23" s="21" t="s">
        <v>549</v>
      </c>
      <c r="J23" s="21" t="s">
        <v>543</v>
      </c>
      <c r="K23" s="10" t="s">
        <v>553</v>
      </c>
      <c r="L23" s="30" t="s">
        <v>446</v>
      </c>
      <c r="M23" s="10" t="str">
        <f t="shared" si="1"/>
        <v>HRM:[Mobile Loan (Set Purchase)][Collection][Transfer]</v>
      </c>
      <c r="N23" t="s">
        <v>439</v>
      </c>
      <c r="O23" t="s">
        <v>542</v>
      </c>
    </row>
    <row r="24" spans="2:15" x14ac:dyDescent="0.35">
      <c r="B24" s="141"/>
      <c r="C24" s="141" t="s">
        <v>405</v>
      </c>
      <c r="D24" s="131" t="s">
        <v>417</v>
      </c>
      <c r="E24" s="131"/>
      <c r="F24" s="131"/>
      <c r="G24" s="131"/>
      <c r="H24" s="131"/>
    </row>
    <row r="25" spans="2:15" x14ac:dyDescent="0.35">
      <c r="B25" s="141"/>
      <c r="C25" s="141"/>
      <c r="D25" s="131"/>
      <c r="E25" s="131"/>
      <c r="F25" s="131"/>
      <c r="G25" s="131"/>
      <c r="H25" s="131"/>
    </row>
    <row r="26" spans="2:15" x14ac:dyDescent="0.35">
      <c r="B26" s="141"/>
      <c r="C26" s="141"/>
      <c r="D26" s="131"/>
      <c r="E26" s="131"/>
      <c r="F26" s="131"/>
      <c r="G26" s="131"/>
      <c r="H26" s="131"/>
    </row>
    <row r="27" spans="2:15" x14ac:dyDescent="0.35">
      <c r="B27" s="141"/>
      <c r="C27" s="141"/>
      <c r="D27" s="131"/>
      <c r="E27" s="131"/>
      <c r="F27" s="131"/>
      <c r="G27" s="131"/>
      <c r="H27" s="131"/>
    </row>
    <row r="28" spans="2:15" x14ac:dyDescent="0.35">
      <c r="B28" s="141"/>
      <c r="C28" s="141"/>
      <c r="D28" s="131"/>
      <c r="E28" s="131"/>
      <c r="F28" s="131"/>
      <c r="G28" s="131"/>
      <c r="H28" s="131"/>
    </row>
    <row r="29" spans="2:15" x14ac:dyDescent="0.35">
      <c r="B29" s="141"/>
      <c r="C29" s="141"/>
      <c r="D29" s="131"/>
      <c r="E29" s="131"/>
      <c r="F29" s="131"/>
      <c r="G29" s="131"/>
      <c r="H29" s="131"/>
    </row>
    <row r="31" spans="2:15" ht="14.5" customHeight="1" x14ac:dyDescent="0.35">
      <c r="B31" s="131" t="s">
        <v>423</v>
      </c>
      <c r="C31" s="141" t="s">
        <v>424</v>
      </c>
      <c r="D31" t="s">
        <v>380</v>
      </c>
      <c r="E31" t="s">
        <v>194</v>
      </c>
      <c r="F31">
        <v>1</v>
      </c>
      <c r="G31" t="s">
        <v>355</v>
      </c>
      <c r="H31" s="5" t="s">
        <v>419</v>
      </c>
      <c r="I31" t="s">
        <v>416</v>
      </c>
      <c r="J31" t="s">
        <v>259</v>
      </c>
      <c r="K31" t="s">
        <v>260</v>
      </c>
      <c r="L31" t="s">
        <v>365</v>
      </c>
      <c r="M31" t="str">
        <f>"HRM:["&amp;E31&amp;"][Collection][Transfer]"</f>
        <v>HRM:[Provident Fund Loan][Collection][Transfer]</v>
      </c>
      <c r="N31" t="s">
        <v>439</v>
      </c>
    </row>
    <row r="32" spans="2:15" x14ac:dyDescent="0.35">
      <c r="B32" s="131"/>
      <c r="C32" s="141"/>
      <c r="D32" t="s">
        <v>380</v>
      </c>
      <c r="E32" t="s">
        <v>194</v>
      </c>
      <c r="F32">
        <v>1</v>
      </c>
      <c r="G32" t="s">
        <v>355</v>
      </c>
      <c r="H32" t="s">
        <v>261</v>
      </c>
      <c r="I32" t="s">
        <v>262</v>
      </c>
      <c r="J32" s="5" t="s">
        <v>418</v>
      </c>
      <c r="K32" t="s">
        <v>425</v>
      </c>
      <c r="L32" t="s">
        <v>364</v>
      </c>
      <c r="M32" t="str">
        <f t="shared" ref="M32:M37" si="2">"HRM:["&amp;E32&amp;"][Collection][Transfer]"</f>
        <v>HRM:[Provident Fund Loan][Collection][Transfer]</v>
      </c>
      <c r="N32" t="s">
        <v>439</v>
      </c>
    </row>
    <row r="33" spans="2:15" x14ac:dyDescent="0.35">
      <c r="B33" s="131"/>
      <c r="C33" s="141"/>
      <c r="D33" t="s">
        <v>380</v>
      </c>
      <c r="E33" t="s">
        <v>191</v>
      </c>
      <c r="F33">
        <v>1</v>
      </c>
      <c r="G33" t="s">
        <v>355</v>
      </c>
      <c r="H33" s="5" t="s">
        <v>420</v>
      </c>
      <c r="I33" t="s">
        <v>406</v>
      </c>
      <c r="J33" s="5" t="s">
        <v>242</v>
      </c>
      <c r="K33" t="s">
        <v>243</v>
      </c>
      <c r="L33" t="s">
        <v>370</v>
      </c>
      <c r="M33" t="str">
        <f t="shared" si="2"/>
        <v>HRM:[Motor Cycle Loan][Collection][Transfer]</v>
      </c>
      <c r="N33" t="s">
        <v>439</v>
      </c>
    </row>
    <row r="34" spans="2:15" x14ac:dyDescent="0.35">
      <c r="B34" s="131"/>
      <c r="C34" s="141"/>
      <c r="D34" t="s">
        <v>380</v>
      </c>
      <c r="E34" t="s">
        <v>192</v>
      </c>
      <c r="F34">
        <v>1</v>
      </c>
      <c r="G34" t="s">
        <v>355</v>
      </c>
      <c r="H34" s="5" t="s">
        <v>421</v>
      </c>
      <c r="I34" t="s">
        <v>407</v>
      </c>
      <c r="J34" t="s">
        <v>251</v>
      </c>
      <c r="K34" t="s">
        <v>252</v>
      </c>
      <c r="L34" t="s">
        <v>370</v>
      </c>
      <c r="M34" t="str">
        <f t="shared" si="2"/>
        <v>HRM:[Bi-Cycle Loan][Collection][Transfer]</v>
      </c>
      <c r="N34" t="s">
        <v>439</v>
      </c>
    </row>
    <row r="35" spans="2:15" x14ac:dyDescent="0.35">
      <c r="B35" s="131"/>
      <c r="C35" s="141"/>
      <c r="D35" t="s">
        <v>380</v>
      </c>
      <c r="E35" t="s">
        <v>223</v>
      </c>
      <c r="F35">
        <v>1</v>
      </c>
      <c r="G35" t="s">
        <v>355</v>
      </c>
      <c r="H35" s="5" t="s">
        <v>422</v>
      </c>
      <c r="I35" t="s">
        <v>408</v>
      </c>
      <c r="J35" s="24" t="s">
        <v>415</v>
      </c>
      <c r="K35" s="4" t="s">
        <v>267</v>
      </c>
      <c r="L35" t="s">
        <v>375</v>
      </c>
      <c r="M35" t="str">
        <f t="shared" si="2"/>
        <v>HRM:[Advance][Collection][Transfer]</v>
      </c>
      <c r="N35" t="s">
        <v>439</v>
      </c>
    </row>
    <row r="36" spans="2:15" x14ac:dyDescent="0.35">
      <c r="B36" s="131"/>
      <c r="C36" s="141"/>
      <c r="D36" t="s">
        <v>380</v>
      </c>
      <c r="E36" t="s">
        <v>205</v>
      </c>
      <c r="F36">
        <v>1</v>
      </c>
      <c r="G36" t="s">
        <v>355</v>
      </c>
      <c r="H36" s="2" t="s">
        <v>270</v>
      </c>
      <c r="I36" s="4" t="s">
        <v>271</v>
      </c>
      <c r="J36" s="5" t="s">
        <v>410</v>
      </c>
      <c r="K36" t="s">
        <v>409</v>
      </c>
      <c r="L36" s="10" t="s">
        <v>378</v>
      </c>
      <c r="M36" s="10" t="s">
        <v>379</v>
      </c>
      <c r="N36" t="s">
        <v>439</v>
      </c>
    </row>
    <row r="37" spans="2:15" x14ac:dyDescent="0.35">
      <c r="C37" s="141"/>
      <c r="D37" t="s">
        <v>380</v>
      </c>
      <c r="E37" t="s">
        <v>547</v>
      </c>
      <c r="F37">
        <v>1</v>
      </c>
      <c r="G37" t="s">
        <v>355</v>
      </c>
      <c r="H37" s="21" t="s">
        <v>544</v>
      </c>
      <c r="I37" s="10" t="s">
        <v>554</v>
      </c>
      <c r="J37" s="21" t="s">
        <v>539</v>
      </c>
      <c r="K37" s="21" t="s">
        <v>549</v>
      </c>
      <c r="L37" t="s">
        <v>370</v>
      </c>
      <c r="M37" t="str">
        <f t="shared" si="2"/>
        <v>HRM:[Mobile Loan (Set Purchase)][Collection][Transfer]</v>
      </c>
      <c r="N37" t="s">
        <v>439</v>
      </c>
      <c r="O37" t="s">
        <v>542</v>
      </c>
    </row>
  </sheetData>
  <mergeCells count="11">
    <mergeCell ref="H1:I1"/>
    <mergeCell ref="J1:K1"/>
    <mergeCell ref="B2:B15"/>
    <mergeCell ref="C2:C8"/>
    <mergeCell ref="C9:C15"/>
    <mergeCell ref="B31:B36"/>
    <mergeCell ref="C24:C29"/>
    <mergeCell ref="B17:B29"/>
    <mergeCell ref="C31:C37"/>
    <mergeCell ref="D24:H29"/>
    <mergeCell ref="C17:C2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HR AC TYPE</vt:lpstr>
      <vt:lpstr>Designation wise salary etc.</vt:lpstr>
      <vt:lpstr>Designation Tag wise expense </vt:lpstr>
      <vt:lpstr>Salary Payment Journal Mapping</vt:lpstr>
      <vt:lpstr>Ex.-Salary Pay with Penal servi</vt:lpstr>
      <vt:lpstr>Payment Trx Journal Mapping</vt:lpstr>
      <vt:lpstr>Collection Trx journal Mapping</vt:lpstr>
      <vt:lpstr>Loan Trx journal Mapping</vt:lpstr>
      <vt:lpstr>Emp Trans Recv. Release Journal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 Office ICT-10</cp:lastModifiedBy>
  <dcterms:created xsi:type="dcterms:W3CDTF">2018-02-04T05:56:08Z</dcterms:created>
  <dcterms:modified xsi:type="dcterms:W3CDTF">2024-11-11T03:37:53Z</dcterms:modified>
</cp:coreProperties>
</file>